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Ex1\"/>
    </mc:Choice>
  </mc:AlternateContent>
  <xr:revisionPtr revIDLastSave="0" documentId="13_ncr:1_{A6926312-4DEE-4E31-8072-578910231964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TongHop" sheetId="1" r:id="rId1"/>
    <sheet name="DoiSoat" sheetId="2" r:id="rId2"/>
    <sheet name="TraCuu" sheetId="3" r:id="rId3"/>
    <sheet name="NganHan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2" l="1"/>
  <c r="L2" i="2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G13" i="3" s="1"/>
  <c r="J25" i="2"/>
  <c r="K25" i="2" s="1"/>
  <c r="L25" i="2" s="1"/>
  <c r="G25" i="2"/>
  <c r="F25" i="2"/>
  <c r="B25" i="2"/>
  <c r="M25" i="2" s="1"/>
  <c r="J24" i="2"/>
  <c r="K24" i="2" s="1"/>
  <c r="L24" i="2" s="1"/>
  <c r="G24" i="2"/>
  <c r="F24" i="2"/>
  <c r="B24" i="2"/>
  <c r="M24" i="2" s="1"/>
  <c r="J23" i="2"/>
  <c r="K23" i="2" s="1"/>
  <c r="L23" i="2" s="1"/>
  <c r="G23" i="2"/>
  <c r="F23" i="2"/>
  <c r="B23" i="2"/>
  <c r="M23" i="2" s="1"/>
  <c r="J22" i="2"/>
  <c r="K22" i="2" s="1"/>
  <c r="L22" i="2" s="1"/>
  <c r="G22" i="2"/>
  <c r="F22" i="2"/>
  <c r="B22" i="2"/>
  <c r="M22" i="2" s="1"/>
  <c r="J21" i="2"/>
  <c r="K21" i="2" s="1"/>
  <c r="L21" i="2" s="1"/>
  <c r="G21" i="2"/>
  <c r="F21" i="2"/>
  <c r="B21" i="2"/>
  <c r="M21" i="2" s="1"/>
  <c r="J20" i="2"/>
  <c r="K20" i="2" s="1"/>
  <c r="L20" i="2" s="1"/>
  <c r="G20" i="2"/>
  <c r="F20" i="2"/>
  <c r="B20" i="2"/>
  <c r="M20" i="2" s="1"/>
  <c r="J19" i="2"/>
  <c r="K19" i="2" s="1"/>
  <c r="L19" i="2" s="1"/>
  <c r="G19" i="2"/>
  <c r="F19" i="2"/>
  <c r="B19" i="2"/>
  <c r="M19" i="2" s="1"/>
  <c r="J18" i="2"/>
  <c r="K18" i="2" s="1"/>
  <c r="L18" i="2" s="1"/>
  <c r="G18" i="2"/>
  <c r="F18" i="2"/>
  <c r="B18" i="2"/>
  <c r="M18" i="2" s="1"/>
  <c r="J17" i="2"/>
  <c r="K17" i="2" s="1"/>
  <c r="L17" i="2" s="1"/>
  <c r="G17" i="2"/>
  <c r="F17" i="2"/>
  <c r="B17" i="2"/>
  <c r="M17" i="2" s="1"/>
  <c r="J16" i="2"/>
  <c r="K16" i="2" s="1"/>
  <c r="L16" i="2" s="1"/>
  <c r="G16" i="2"/>
  <c r="F16" i="2"/>
  <c r="B16" i="2"/>
  <c r="M16" i="2" s="1"/>
  <c r="J15" i="2"/>
  <c r="K15" i="2" s="1"/>
  <c r="L15" i="2" s="1"/>
  <c r="G15" i="2"/>
  <c r="F15" i="2"/>
  <c r="B15" i="2"/>
  <c r="M15" i="2" s="1"/>
  <c r="J14" i="2"/>
  <c r="K14" i="2" s="1"/>
  <c r="L14" i="2" s="1"/>
  <c r="G14" i="2"/>
  <c r="F14" i="2"/>
  <c r="B14" i="2"/>
  <c r="M14" i="2" s="1"/>
  <c r="J13" i="2"/>
  <c r="K13" i="2" s="1"/>
  <c r="L13" i="2" s="1"/>
  <c r="G13" i="2"/>
  <c r="F13" i="2"/>
  <c r="B13" i="2"/>
  <c r="M13" i="2" s="1"/>
  <c r="J12" i="2"/>
  <c r="K12" i="2" s="1"/>
  <c r="L12" i="2" s="1"/>
  <c r="G12" i="2"/>
  <c r="F12" i="2"/>
  <c r="B12" i="2"/>
  <c r="M12" i="2" s="1"/>
  <c r="J11" i="2"/>
  <c r="K11" i="2" s="1"/>
  <c r="L11" i="2" s="1"/>
  <c r="G11" i="2"/>
  <c r="F11" i="2"/>
  <c r="B11" i="2"/>
  <c r="M11" i="2" s="1"/>
  <c r="J10" i="2"/>
  <c r="K10" i="2" s="1"/>
  <c r="L10" i="2" s="1"/>
  <c r="G10" i="2"/>
  <c r="F10" i="2"/>
  <c r="B10" i="2"/>
  <c r="M10" i="2" s="1"/>
  <c r="J9" i="2"/>
  <c r="K9" i="2" s="1"/>
  <c r="L9" i="2" s="1"/>
  <c r="G9" i="2"/>
  <c r="F9" i="2"/>
  <c r="B9" i="2"/>
  <c r="M9" i="2" s="1"/>
  <c r="J8" i="2"/>
  <c r="K8" i="2" s="1"/>
  <c r="L8" i="2" s="1"/>
  <c r="G8" i="2"/>
  <c r="F8" i="2"/>
  <c r="B8" i="2"/>
  <c r="M8" i="2" s="1"/>
  <c r="J7" i="2"/>
  <c r="K7" i="2" s="1"/>
  <c r="L7" i="2" s="1"/>
  <c r="G7" i="2"/>
  <c r="F7" i="2"/>
  <c r="B7" i="2"/>
  <c r="M7" i="2" s="1"/>
  <c r="J6" i="2"/>
  <c r="K6" i="2" s="1"/>
  <c r="L6" i="2" s="1"/>
  <c r="G6" i="2"/>
  <c r="F6" i="2"/>
  <c r="B6" i="2"/>
  <c r="M6" i="2" s="1"/>
  <c r="J5" i="2"/>
  <c r="K5" i="2" s="1"/>
  <c r="G5" i="2"/>
  <c r="F5" i="2"/>
  <c r="B5" i="2"/>
  <c r="M5" i="2" s="1"/>
  <c r="J4" i="2"/>
  <c r="K4" i="2" s="1"/>
  <c r="L4" i="2" s="1"/>
  <c r="G4" i="2"/>
  <c r="F4" i="2"/>
  <c r="B4" i="2"/>
  <c r="M4" i="2" s="1"/>
  <c r="J3" i="2"/>
  <c r="K3" i="2" s="1"/>
  <c r="L3" i="2" s="1"/>
  <c r="G3" i="2"/>
  <c r="F3" i="2"/>
  <c r="B3" i="2"/>
  <c r="M3" i="2" s="1"/>
  <c r="J2" i="2"/>
  <c r="B8" i="1" s="1"/>
  <c r="G2" i="2"/>
  <c r="F2" i="2"/>
  <c r="B2" i="2"/>
  <c r="M2" i="2" s="1"/>
  <c r="D27" i="1" s="1"/>
  <c r="B26" i="1"/>
  <c r="D21" i="1"/>
  <c r="G20" i="1"/>
  <c r="E20" i="1"/>
  <c r="D20" i="1"/>
  <c r="C20" i="1"/>
  <c r="F20" i="1" s="1"/>
  <c r="B20" i="1"/>
  <c r="A20" i="1"/>
  <c r="G19" i="1"/>
  <c r="E19" i="1"/>
  <c r="D19" i="1"/>
  <c r="C19" i="1"/>
  <c r="F19" i="1" s="1"/>
  <c r="B19" i="1"/>
  <c r="A19" i="1"/>
  <c r="G18" i="1"/>
  <c r="G21" i="1" s="1"/>
  <c r="E18" i="1"/>
  <c r="D18" i="1"/>
  <c r="C18" i="1"/>
  <c r="C21" i="1" s="1"/>
  <c r="B18" i="1"/>
  <c r="B21" i="1" s="1"/>
  <c r="A18" i="1"/>
  <c r="C10" i="1"/>
  <c r="D10" i="1" s="1"/>
  <c r="B10" i="1"/>
  <c r="D9" i="1"/>
  <c r="C9" i="1"/>
  <c r="B9" i="1"/>
  <c r="C8" i="1"/>
  <c r="C7" i="1"/>
  <c r="B27" i="1" s="1"/>
  <c r="B7" i="1"/>
  <c r="B11" i="1" s="1"/>
  <c r="B12" i="1" s="1"/>
  <c r="C6" i="1"/>
  <c r="D6" i="1" s="1"/>
  <c r="B6" i="1"/>
  <c r="H20" i="1" l="1"/>
  <c r="D8" i="1"/>
  <c r="H19" i="1"/>
  <c r="B29" i="1"/>
  <c r="D29" i="1" s="1"/>
  <c r="C11" i="1"/>
  <c r="B28" i="1"/>
  <c r="K2" i="2"/>
  <c r="D7" i="1"/>
  <c r="C14" i="1"/>
  <c r="F18" i="1"/>
  <c r="F21" i="1" s="1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D26" i="1" l="1"/>
  <c r="D28" i="1"/>
  <c r="H18" i="1"/>
  <c r="H21" i="1" s="1"/>
  <c r="C12" i="1"/>
  <c r="D12" i="1" s="1"/>
  <c r="D11" i="1"/>
</calcChain>
</file>

<file path=xl/sharedStrings.xml><?xml version="1.0" encoding="utf-8"?>
<sst xmlns="http://schemas.openxmlformats.org/spreadsheetml/2006/main" count="193" uniqueCount="121">
  <si>
    <t>PayKX đối soát và kết quả hoạt động</t>
  </si>
  <si>
    <t>Mẫu 24 giao dịch thành công, tháng 09 và 10/2026. Đơn vị: VND.</t>
  </si>
  <si>
    <t>Chỉ tiêu</t>
  </si>
  <si>
    <t>09/2026</t>
  </si>
  <si>
    <t>10/2026</t>
  </si>
  <si>
    <t>Chênh lệch</t>
  </si>
  <si>
    <t>Giá trị giao dịch</t>
  </si>
  <si>
    <t>Doanh thu phí dịch vụ</t>
  </si>
  <si>
    <t>Phí ngân hàng</t>
  </si>
  <si>
    <t>Hoàn tiền ưu đãi</t>
  </si>
  <si>
    <t>Chi phí vận hành</t>
  </si>
  <si>
    <t>Lợi nhuận hoạt động</t>
  </si>
  <si>
    <t>Biên lợi nhuận</t>
  </si>
  <si>
    <t>Tăng trưởng doanh thu</t>
  </si>
  <si>
    <t>Đối tác tháng 10</t>
  </si>
  <si>
    <t>Số giao dịch</t>
  </si>
  <si>
    <t>Doanh số VND</t>
  </si>
  <si>
    <t>Phí cố định</t>
  </si>
  <si>
    <t>Tỷ lệ phí</t>
  </si>
  <si>
    <t>Phí dự kiến</t>
  </si>
  <si>
    <t>Phí thực thu</t>
  </si>
  <si>
    <t>Tổng</t>
  </si>
  <si>
    <t>Dòng tiền hoạt động tháng 10</t>
  </si>
  <si>
    <t>Giá trị VND</t>
  </si>
  <si>
    <t>Kiểm tra</t>
  </si>
  <si>
    <t>Kết quả</t>
  </si>
  <si>
    <t>Tiền đầu kỳ</t>
  </si>
  <si>
    <t>Số dòng lệch phí</t>
  </si>
  <si>
    <t>Thu phí dịch vụ</t>
  </si>
  <si>
    <t>Số dòng trùng mã</t>
  </si>
  <si>
    <t>Chi hoạt động</t>
  </si>
  <si>
    <t>Tổng chênh lệch</t>
  </si>
  <si>
    <t>Tiền cuối kỳ</t>
  </si>
  <si>
    <t>Khớp lợi nhuận</t>
  </si>
  <si>
    <t>Tiền khách nạp và giá trị giao dịch không phải doanh thu PayKX.</t>
  </si>
  <si>
    <t>Phí thực thu tháng gồm phí biến đổi theo giao dịch và phí cố định theo giả định hợp đồng.</t>
  </si>
  <si>
    <t>Lợi nhuận hoạt động chưa bao gồm thuế. Tiền cuối kỳ chỉ là quỹ hoạt động của PayKX.</t>
  </si>
  <si>
    <t>Nguồn: dữ liệu giả định. Slide là bản chụp số liệu tại thời điểm tạo, không liên kết trực tiếp Excel.</t>
  </si>
  <si>
    <t>MaGD_Goc</t>
  </si>
  <si>
    <t>MaGD_Sach</t>
  </si>
  <si>
    <t>NgayGD</t>
  </si>
  <si>
    <t>MaNH</t>
  </si>
  <si>
    <t>GiaTriGD_VND</t>
  </si>
  <si>
    <t>DoanhThuPhi_VND</t>
  </si>
  <si>
    <t>HoanTienUuDai_VND</t>
  </si>
  <si>
    <t>PhiNH_ThucThu_VND</t>
  </si>
  <si>
    <t>TenNguoiDung</t>
  </si>
  <si>
    <t>PhiNH_DuKien_VND</t>
  </si>
  <si>
    <t>ChenhLech_VND</t>
  </si>
  <si>
    <t>KetQuaDoiSoat</t>
  </si>
  <si>
    <t>SoLanMaGD</t>
  </si>
  <si>
    <t>GD09001</t>
  </si>
  <si>
    <t>NH01</t>
  </si>
  <si>
    <t>GD09002</t>
  </si>
  <si>
    <t>NH02</t>
  </si>
  <si>
    <t>GD09003</t>
  </si>
  <si>
    <t>NH03</t>
  </si>
  <si>
    <t>GD09004</t>
  </si>
  <si>
    <t>GD09005</t>
  </si>
  <si>
    <t>GD09006</t>
  </si>
  <si>
    <t>GD09007</t>
  </si>
  <si>
    <t>GD09008</t>
  </si>
  <si>
    <t>GD09009</t>
  </si>
  <si>
    <t>GD09010</t>
  </si>
  <si>
    <t>GD09011</t>
  </si>
  <si>
    <t>GD09012</t>
  </si>
  <si>
    <t>GD10001</t>
  </si>
  <si>
    <t>GD10002</t>
  </si>
  <si>
    <t>GD10003</t>
  </si>
  <si>
    <t>GD10004</t>
  </si>
  <si>
    <t>GD10005</t>
  </si>
  <si>
    <t>GD10006</t>
  </si>
  <si>
    <t>GD10007</t>
  </si>
  <si>
    <t>GD10008</t>
  </si>
  <si>
    <t>GD10009</t>
  </si>
  <si>
    <t>GD10010</t>
  </si>
  <si>
    <t>GD10011</t>
  </si>
  <si>
    <t>GD10012</t>
  </si>
  <si>
    <t>TenNguoiDung_Sach</t>
  </si>
  <si>
    <t>TenNguoiDung_Goc</t>
  </si>
  <si>
    <t>Nguyễn Nhân</t>
  </si>
  <si>
    <t>Tra cứu theo mã giao dịch, mỗi mã xuất hiện đúng một lần.</t>
  </si>
  <si>
    <t>Trần Minh</t>
  </si>
  <si>
    <t>A và B là dữ liệu đã TRIM; C và D giữ nguyên dữ liệu gốc.</t>
  </si>
  <si>
    <t>Lê An</t>
  </si>
  <si>
    <t>Phạm Huy</t>
  </si>
  <si>
    <t>Kiểm tra nhanh khi gặp #N/A</t>
  </si>
  <si>
    <t>Võ Linh</t>
  </si>
  <si>
    <t>1. Mã có tồn tại?</t>
  </si>
  <si>
    <t>Dùng COUNTIF trên cột mã sạch; 0 là chưa có bản ghi.</t>
  </si>
  <si>
    <t>Đỗ Khoa</t>
  </si>
  <si>
    <t>2. Khóa có cùng định dạng?</t>
  </si>
  <si>
    <t>Dùng TRIM cả hai phía; giữ mã ở dạng Text và giữ số 0 đầu.</t>
  </si>
  <si>
    <t>3. Vùng và công thức đúng?</t>
  </si>
  <si>
    <t>Mã phải ở cột đầu vùng, cột trả về = 2, FALSE, vùng có $.</t>
  </si>
  <si>
    <t>4. Dữ liệu nguồn đã đầy đủ?</t>
  </si>
  <si>
    <t>Kiểm tra kỳ dữ liệu, mã trùng, bản ghi mới ngoài vùng tra.</t>
  </si>
  <si>
    <t>MaThu</t>
  </si>
  <si>
    <t>KetQua</t>
  </si>
  <si>
    <t>TRIM không loại bỏ khoảng trắng không ngắt CHAR(160).</t>
  </si>
  <si>
    <t>Nếu có CHAR(160): dùng TRIM(SUBSTITUTE(ô,CHAR(160)," ")).</t>
  </si>
  <si>
    <t>Không dùng IFERROR để biến lỗi thiếu dữ liệu thành số 0.</t>
  </si>
  <si>
    <t>TenNganHang</t>
  </si>
  <si>
    <t>PhiCoDinhThang_VND</t>
  </si>
  <si>
    <t>TyLePhi</t>
  </si>
  <si>
    <t>GiaDinh</t>
  </si>
  <si>
    <t>GiaTri</t>
  </si>
  <si>
    <t>Ngân hàng A</t>
  </si>
  <si>
    <t>Phí dịch vụ / giá trị GD</t>
  </si>
  <si>
    <t>Ngân hàng B</t>
  </si>
  <si>
    <t>Hoàn tiền ưu đãi / giá trị GD</t>
  </si>
  <si>
    <t>Ngân hàng C</t>
  </si>
  <si>
    <t>Chi phí vận hành tháng 09</t>
  </si>
  <si>
    <t>Chi phí vận hành tháng 10</t>
  </si>
  <si>
    <t>Tiền hoạt động đầu tháng 10</t>
  </si>
  <si>
    <t>Nguồn: dữ liệu giả định phục vụ bài tập PayKX.</t>
  </si>
  <si>
    <t>Phí NH = phí cố định tháng + doanh số × tỷ lệ.</t>
  </si>
  <si>
    <t>Chưa xét VAT, thuế TNDN, lãi vay và khấu hao.</t>
  </si>
  <si>
    <t>Giả định thu và chi hoạt động đều thanh toán trong tháng.</t>
  </si>
  <si>
    <t>Hoàn tiền ưu đãi do PayKX tài trợ, khác hoàn trả giao dịch gốc.</t>
  </si>
  <si>
    <t>=VLOOKUP(B3,TraCuu!$A$2:$B$25,2,FALSE)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</si>
</sst>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dd/mm/yyyy"/>
    <numFmt numFmtId="166" formatCode="#,##0;\(#,##0\);&quot;-&quot;"/>
  </numFmts>
  <fonts count="12">
    <font>
      <sz val="11"/>
      <name val="Carlito"/>
    </font>
    <font>
      <sz val="11"/>
      <color rgb="FF111827"/>
      <name val="Arial"/>
    </font>
    <font>
      <b/>
      <sz val="11"/>
      <color rgb="FFFFFFFF"/>
      <name val="Arial"/>
    </font>
    <font>
      <sz val="11"/>
      <color rgb="FF2456B5"/>
      <name val="Arial"/>
    </font>
    <font>
      <sz val="11"/>
      <color rgb="FF000000"/>
      <name val="Arial"/>
    </font>
    <font>
      <sz val="11"/>
      <color rgb="FF008040"/>
      <name val="Arial"/>
    </font>
    <font>
      <b/>
      <sz val="18"/>
      <color rgb="FF12356A"/>
      <name val="Arial"/>
    </font>
    <font>
      <b/>
      <sz val="11"/>
      <color rgb="FF12356A"/>
      <name val="Arial"/>
    </font>
    <font>
      <sz val="11"/>
      <color rgb="FF12356A"/>
      <name val="Arial"/>
    </font>
    <font>
      <sz val="11"/>
      <name val="Carlito"/>
    </font>
    <font>
      <sz val="11"/>
      <color rgb="FF111827"/>
      <name val="Arial"/>
      <family val="2"/>
      <charset val="163"/>
    </font>
    <font>
      <sz val="11"/>
      <color rgb="FF00804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12356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26">
    <xf numFmtId="0" fontId="0" fillId="0" borderId="0" xfId="0"/>
    <xf numFmtId="0" fontId="1" fillId="0" borderId="0" xfId="1" applyFont="1"/>
    <xf numFmtId="0" fontId="2" fillId="2" borderId="0" xfId="1" applyFont="1" applyFill="1" applyAlignment="1">
      <alignment horizontal="center" vertical="center" wrapText="1"/>
    </xf>
    <xf numFmtId="3" fontId="3" fillId="0" borderId="0" xfId="1" applyNumberFormat="1" applyFont="1"/>
    <xf numFmtId="10" fontId="3" fillId="0" borderId="0" xfId="1" applyNumberFormat="1" applyFont="1"/>
    <xf numFmtId="164" fontId="3" fillId="0" borderId="0" xfId="1" applyNumberFormat="1" applyFont="1"/>
    <xf numFmtId="0" fontId="4" fillId="0" borderId="0" xfId="1" applyFont="1"/>
    <xf numFmtId="165" fontId="1" fillId="0" borderId="0" xfId="1" applyNumberFormat="1" applyFont="1"/>
    <xf numFmtId="166" fontId="1" fillId="0" borderId="0" xfId="1" applyNumberFormat="1" applyFont="1"/>
    <xf numFmtId="166" fontId="5" fillId="0" borderId="0" xfId="1" applyNumberFormat="1" applyFont="1"/>
    <xf numFmtId="166" fontId="4" fillId="0" borderId="0" xfId="1" applyNumberFormat="1" applyFont="1"/>
    <xf numFmtId="49" fontId="5" fillId="0" borderId="0" xfId="1" applyNumberFormat="1" applyFont="1"/>
    <xf numFmtId="166" fontId="3" fillId="0" borderId="0" xfId="1" applyNumberFormat="1" applyFont="1"/>
    <xf numFmtId="0" fontId="6" fillId="0" borderId="0" xfId="1" applyFont="1"/>
    <xf numFmtId="0" fontId="8" fillId="0" borderId="0" xfId="1" applyFont="1"/>
    <xf numFmtId="164" fontId="8" fillId="0" borderId="0" xfId="1" applyNumberFormat="1" applyFont="1"/>
    <xf numFmtId="0" fontId="2" fillId="2" borderId="1" xfId="1" applyFont="1" applyFill="1" applyBorder="1" applyAlignment="1">
      <alignment horizontal="center" vertical="center" wrapText="1"/>
    </xf>
    <xf numFmtId="0" fontId="8" fillId="0" borderId="1" xfId="1" applyFont="1" applyBorder="1"/>
    <xf numFmtId="166" fontId="8" fillId="0" borderId="1" xfId="1" applyNumberFormat="1" applyFont="1" applyBorder="1"/>
    <xf numFmtId="0" fontId="7" fillId="0" borderId="1" xfId="1" applyFont="1" applyBorder="1"/>
    <xf numFmtId="166" fontId="7" fillId="0" borderId="1" xfId="1" applyNumberFormat="1" applyFont="1" applyBorder="1"/>
    <xf numFmtId="164" fontId="8" fillId="0" borderId="1" xfId="1" applyNumberFormat="1" applyFont="1" applyBorder="1"/>
    <xf numFmtId="10" fontId="8" fillId="0" borderId="1" xfId="1" applyNumberFormat="1" applyFont="1" applyBorder="1"/>
    <xf numFmtId="3" fontId="8" fillId="0" borderId="1" xfId="1" applyNumberFormat="1" applyFont="1" applyBorder="1"/>
    <xf numFmtId="0" fontId="10" fillId="0" borderId="0" xfId="1" applyFont="1"/>
    <xf numFmtId="49" fontId="11" fillId="0" borderId="0" xfId="1" applyNumberFormat="1" applyFont="1"/>
  </cellXfs>
  <cellStyles count="2">
    <cellStyle name="Bình thường" xfId="0" builtinId="0"/>
    <cellStyle name="Normal" xfId="1" xr:uid="{00000000-0005-0000-0000-000000000000}"/>
  </cellStyles>
  <dxfs count="3"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  <dxf>
      <font>
        <b/>
        <color rgb="FFB91C1C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GiaoDich" displayName="GiaoDich" ref="A1:M25" totalsRowShown="0">
  <tableColumns count="13">
    <tableColumn id="1" xr3:uid="{00000000-0010-0000-0000-000001000000}" name="MaGD_Goc"/>
    <tableColumn id="2" xr3:uid="{00000000-0010-0000-0000-000002000000}" name="MaGD_Sach"/>
    <tableColumn id="3" xr3:uid="{00000000-0010-0000-0000-000003000000}" name="NgayGD"/>
    <tableColumn id="4" xr3:uid="{00000000-0010-0000-0000-000004000000}" name="MaNH"/>
    <tableColumn id="5" xr3:uid="{00000000-0010-0000-0000-000005000000}" name="GiaTriGD_VND"/>
    <tableColumn id="6" xr3:uid="{00000000-0010-0000-0000-000006000000}" name="DoanhThuPhi_VND"/>
    <tableColumn id="7" xr3:uid="{00000000-0010-0000-0000-000007000000}" name="HoanTienUuDai_VND"/>
    <tableColumn id="8" xr3:uid="{00000000-0010-0000-0000-000008000000}" name="PhiNH_ThucThu_VND"/>
    <tableColumn id="9" xr3:uid="{00000000-0010-0000-0000-000009000000}" name="TenNguoiDung"/>
    <tableColumn id="10" xr3:uid="{00000000-0010-0000-0000-00000A000000}" name="PhiNH_DuKien_VND"/>
    <tableColumn id="11" xr3:uid="{00000000-0010-0000-0000-00000B000000}" name="ChenhLech_VND"/>
    <tableColumn id="12" xr3:uid="{00000000-0010-0000-0000-00000C000000}" name="KetQuaDoiSoat"/>
    <tableColumn id="13" xr3:uid="{00000000-0010-0000-0000-00000D000000}" name="SoLanMaG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BangTraCuu" displayName="BangTraCuu" ref="A1:D25" totalsRowShown="0">
  <tableColumns count="4">
    <tableColumn id="1" xr3:uid="{00000000-0010-0000-0100-000001000000}" name="MaGD_Sach"/>
    <tableColumn id="2" xr3:uid="{00000000-0010-0000-0100-000002000000}" name="TenNguoiDung_Sach"/>
    <tableColumn id="3" xr3:uid="{00000000-0010-0000-0100-000003000000}" name="MaGD_Goc"/>
    <tableColumn id="4" xr3:uid="{00000000-0010-0000-0100-000004000000}" name="TenNguoiDung_Go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BangNganHang" displayName="BangNganHang" ref="A1:D4" totalsRowShown="0">
  <tableColumns count="4">
    <tableColumn id="1" xr3:uid="{00000000-0010-0000-0200-000001000000}" name="MaNH"/>
    <tableColumn id="2" xr3:uid="{00000000-0010-0000-0200-000002000000}" name="TenNganHang"/>
    <tableColumn id="3" xr3:uid="{00000000-0010-0000-0200-000003000000}" name="PhiCoDinhThang_VND"/>
    <tableColumn id="4" xr3:uid="{00000000-0010-0000-0200-000004000000}" name="TyLePh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2356A"/>
  </sheetPr>
  <dimension ref="A1:P40"/>
  <sheetViews>
    <sheetView showGridLines="0" zoomScaleNormal="100" workbookViewId="0">
      <selection activeCell="B32" sqref="B32"/>
    </sheetView>
  </sheetViews>
  <sheetFormatPr defaultRowHeight="13.8"/>
  <cols>
    <col min="1" max="1" width="34" customWidth="1"/>
    <col min="2" max="8" width="21" customWidth="1"/>
    <col min="9" max="16" width="18" customWidth="1"/>
  </cols>
  <sheetData>
    <row r="1" spans="1:16" ht="25.0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13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42" customHeight="1">
      <c r="A5" s="16" t="s">
        <v>2</v>
      </c>
      <c r="B5" s="16" t="s">
        <v>3</v>
      </c>
      <c r="C5" s="16" t="s">
        <v>4</v>
      </c>
      <c r="D5" s="16" t="s">
        <v>5</v>
      </c>
      <c r="E5" s="14"/>
      <c r="F5" s="14"/>
      <c r="G5" s="14"/>
      <c r="H5" s="14"/>
      <c r="I5" s="1"/>
      <c r="J5" s="1"/>
      <c r="K5" s="1"/>
      <c r="L5" s="1"/>
      <c r="M5" s="1"/>
      <c r="N5" s="1"/>
      <c r="O5" s="1"/>
      <c r="P5" s="1"/>
    </row>
    <row r="6" spans="1:16" ht="28.95" customHeight="1">
      <c r="A6" s="17" t="s">
        <v>6</v>
      </c>
      <c r="B6" s="18">
        <f>SUM(DoiSoat!E2:E13)</f>
        <v>6000000</v>
      </c>
      <c r="C6" s="18">
        <f>SUM(DoiSoat!E14:E25)</f>
        <v>6900000</v>
      </c>
      <c r="D6" s="18">
        <f t="shared" ref="D6:D12" si="0">C6-B6</f>
        <v>900000</v>
      </c>
      <c r="E6" s="14"/>
      <c r="F6" s="14"/>
      <c r="G6" s="14"/>
      <c r="H6" s="14"/>
      <c r="I6" s="1"/>
      <c r="J6" s="1"/>
      <c r="K6" s="1"/>
      <c r="L6" s="1"/>
      <c r="M6" s="1"/>
      <c r="N6" s="1"/>
      <c r="O6" s="1"/>
      <c r="P6" s="1"/>
    </row>
    <row r="7" spans="1:16" ht="28.95" customHeight="1">
      <c r="A7" s="17" t="s">
        <v>7</v>
      </c>
      <c r="B7" s="18">
        <f>SUM(DoiSoat!F2:F13)</f>
        <v>120000</v>
      </c>
      <c r="C7" s="18">
        <f>SUM(DoiSoat!F14:F25)</f>
        <v>138000</v>
      </c>
      <c r="D7" s="18">
        <f t="shared" si="0"/>
        <v>18000</v>
      </c>
      <c r="E7" s="14"/>
      <c r="F7" s="14"/>
      <c r="G7" s="14"/>
      <c r="H7" s="14"/>
      <c r="I7" s="1"/>
      <c r="J7" s="1"/>
      <c r="K7" s="1"/>
      <c r="L7" s="1"/>
      <c r="M7" s="1"/>
      <c r="N7" s="1"/>
      <c r="O7" s="1"/>
      <c r="P7" s="1"/>
    </row>
    <row r="8" spans="1:16" ht="28.95" customHeight="1">
      <c r="A8" s="17" t="s">
        <v>8</v>
      </c>
      <c r="B8" s="18">
        <f>SUM(DoiSoat!J2:J13)+SUM(NganHang!$C$2:$C$4)</f>
        <v>8800</v>
      </c>
      <c r="C8" s="18">
        <f>SUM(DoiSoat!J14:J25)+SUM(NganHang!$C$2:$C$4)</f>
        <v>9670</v>
      </c>
      <c r="D8" s="18">
        <f t="shared" si="0"/>
        <v>870</v>
      </c>
      <c r="E8" s="14"/>
      <c r="F8" s="14"/>
      <c r="G8" s="14"/>
      <c r="H8" s="14"/>
      <c r="I8" s="1"/>
      <c r="J8" s="1"/>
      <c r="K8" s="1"/>
      <c r="L8" s="1"/>
      <c r="M8" s="1"/>
      <c r="N8" s="1"/>
      <c r="O8" s="1"/>
      <c r="P8" s="1"/>
    </row>
    <row r="9" spans="1:16" ht="28.95" customHeight="1">
      <c r="A9" s="17" t="s">
        <v>9</v>
      </c>
      <c r="B9" s="18">
        <f>SUM(DoiSoat!G2:G13)</f>
        <v>18000</v>
      </c>
      <c r="C9" s="18">
        <f>SUM(DoiSoat!G14:G25)</f>
        <v>20700</v>
      </c>
      <c r="D9" s="18">
        <f t="shared" si="0"/>
        <v>2700</v>
      </c>
      <c r="E9" s="14"/>
      <c r="F9" s="14"/>
      <c r="G9" s="14"/>
      <c r="H9" s="14"/>
      <c r="I9" s="1"/>
      <c r="J9" s="1"/>
      <c r="K9" s="1"/>
      <c r="L9" s="1"/>
      <c r="M9" s="1"/>
      <c r="N9" s="1"/>
      <c r="O9" s="1"/>
      <c r="P9" s="1"/>
    </row>
    <row r="10" spans="1:16" ht="28.95" customHeight="1">
      <c r="A10" s="17" t="s">
        <v>10</v>
      </c>
      <c r="B10" s="18">
        <f>NganHang!G4</f>
        <v>70000</v>
      </c>
      <c r="C10" s="18">
        <f>NganHang!G5</f>
        <v>70000</v>
      </c>
      <c r="D10" s="18">
        <f t="shared" si="0"/>
        <v>0</v>
      </c>
      <c r="E10" s="14"/>
      <c r="F10" s="14"/>
      <c r="G10" s="14"/>
      <c r="H10" s="14"/>
      <c r="I10" s="1"/>
      <c r="J10" s="1"/>
      <c r="K10" s="1"/>
      <c r="L10" s="1"/>
      <c r="M10" s="1"/>
      <c r="N10" s="1"/>
      <c r="O10" s="1"/>
      <c r="P10" s="1"/>
    </row>
    <row r="11" spans="1:16" ht="28.95" customHeight="1">
      <c r="A11" s="19" t="s">
        <v>11</v>
      </c>
      <c r="B11" s="20">
        <f>B7-SUM(B8:B10)</f>
        <v>23200</v>
      </c>
      <c r="C11" s="20">
        <f>C7-SUM(C8:C10)</f>
        <v>37630</v>
      </c>
      <c r="D11" s="20">
        <f t="shared" si="0"/>
        <v>14430</v>
      </c>
      <c r="E11" s="14"/>
      <c r="F11" s="14"/>
      <c r="G11" s="14"/>
      <c r="H11" s="14"/>
      <c r="I11" s="1"/>
      <c r="J11" s="1"/>
      <c r="K11" s="1"/>
      <c r="L11" s="1"/>
      <c r="M11" s="1"/>
      <c r="N11" s="1"/>
      <c r="O11" s="1"/>
      <c r="P11" s="1"/>
    </row>
    <row r="12" spans="1:16" ht="28.95" customHeight="1">
      <c r="A12" s="17" t="s">
        <v>12</v>
      </c>
      <c r="B12" s="21">
        <f>B11/B7</f>
        <v>0.19333333333333333</v>
      </c>
      <c r="C12" s="21">
        <f>C11/C7</f>
        <v>0.27268115942028986</v>
      </c>
      <c r="D12" s="21">
        <f t="shared" si="0"/>
        <v>7.9347826086956535E-2</v>
      </c>
      <c r="E12" s="14"/>
      <c r="F12" s="14"/>
      <c r="G12" s="14"/>
      <c r="H12" s="14"/>
      <c r="I12" s="1"/>
      <c r="J12" s="1"/>
      <c r="K12" s="1"/>
      <c r="L12" s="1"/>
      <c r="M12" s="1"/>
      <c r="N12" s="1"/>
      <c r="O12" s="1"/>
      <c r="P12" s="1"/>
    </row>
    <row r="13" spans="1:16" ht="25.05" customHeight="1">
      <c r="A13" s="14"/>
      <c r="B13" s="14"/>
      <c r="C13" s="14"/>
      <c r="D13" s="14"/>
      <c r="E13" s="14"/>
      <c r="F13" s="14"/>
      <c r="G13" s="14"/>
      <c r="H13" s="14"/>
      <c r="I13" s="1"/>
      <c r="J13" s="1"/>
      <c r="K13" s="1"/>
      <c r="L13" s="1"/>
      <c r="M13" s="1"/>
      <c r="N13" s="1"/>
      <c r="O13" s="1"/>
      <c r="P13" s="1"/>
    </row>
    <row r="14" spans="1:16" ht="25.05" customHeight="1">
      <c r="A14" s="14" t="s">
        <v>13</v>
      </c>
      <c r="B14" s="14"/>
      <c r="C14" s="15">
        <f>C7/B7-1</f>
        <v>0.14999999999999991</v>
      </c>
      <c r="D14" s="14"/>
      <c r="E14" s="14"/>
      <c r="F14" s="14"/>
      <c r="G14" s="14"/>
      <c r="H14" s="14"/>
      <c r="I14" s="1"/>
      <c r="J14" s="1"/>
      <c r="K14" s="1"/>
      <c r="L14" s="1"/>
      <c r="M14" s="1"/>
      <c r="N14" s="1"/>
      <c r="O14" s="1"/>
      <c r="P14" s="1"/>
    </row>
    <row r="15" spans="1:16" ht="25.05" customHeight="1">
      <c r="A15" s="14"/>
      <c r="B15" s="14"/>
      <c r="C15" s="14"/>
      <c r="D15" s="14"/>
      <c r="E15" s="14"/>
      <c r="F15" s="14"/>
      <c r="G15" s="14"/>
      <c r="H15" s="14"/>
      <c r="I15" s="1"/>
      <c r="J15" s="1"/>
      <c r="K15" s="1"/>
      <c r="L15" s="1"/>
      <c r="M15" s="1"/>
      <c r="N15" s="1"/>
      <c r="O15" s="1"/>
      <c r="P15" s="1"/>
    </row>
    <row r="16" spans="1:16" ht="25.05" customHeight="1">
      <c r="A16" s="14"/>
      <c r="B16" s="14"/>
      <c r="C16" s="14"/>
      <c r="D16" s="14"/>
      <c r="E16" s="14"/>
      <c r="F16" s="14"/>
      <c r="G16" s="14"/>
      <c r="H16" s="14"/>
      <c r="I16" s="1"/>
      <c r="J16" s="1"/>
      <c r="K16" s="1"/>
      <c r="L16" s="1"/>
      <c r="M16" s="1"/>
      <c r="N16" s="1"/>
      <c r="O16" s="1"/>
      <c r="P16" s="1"/>
    </row>
    <row r="17" spans="1:16" ht="42" customHeight="1">
      <c r="A17" s="16" t="s">
        <v>14</v>
      </c>
      <c r="B17" s="16" t="s">
        <v>15</v>
      </c>
      <c r="C17" s="16" t="s">
        <v>16</v>
      </c>
      <c r="D17" s="16" t="s">
        <v>17</v>
      </c>
      <c r="E17" s="16" t="s">
        <v>18</v>
      </c>
      <c r="F17" s="16" t="s">
        <v>19</v>
      </c>
      <c r="G17" s="16" t="s">
        <v>20</v>
      </c>
      <c r="H17" s="16" t="s">
        <v>5</v>
      </c>
      <c r="I17" s="1"/>
      <c r="J17" s="1"/>
      <c r="K17" s="1"/>
      <c r="L17" s="1"/>
      <c r="M17" s="1"/>
      <c r="N17" s="1"/>
      <c r="O17" s="1"/>
      <c r="P17" s="1"/>
    </row>
    <row r="18" spans="1:16" ht="25.05" customHeight="1">
      <c r="A18" s="17" t="str">
        <f>NganHang!B2</f>
        <v>Ngân hàng A</v>
      </c>
      <c r="B18" s="17">
        <f>COUNTIF(DoiSoat!$D$14:$D$25,NganHang!A2)</f>
        <v>4</v>
      </c>
      <c r="C18" s="18">
        <f>SUMIF(DoiSoat!$D$14:$D$25,NganHang!A2,DoiSoat!$E$14:$E$25)</f>
        <v>1610000</v>
      </c>
      <c r="D18" s="18">
        <f>NganHang!C2</f>
        <v>1000</v>
      </c>
      <c r="E18" s="22">
        <f>NganHang!D2</f>
        <v>1E-3</v>
      </c>
      <c r="F18" s="18">
        <f>D18+ROUND(C18*E18,0)</f>
        <v>2610</v>
      </c>
      <c r="G18" s="18">
        <f>SUMIF(DoiSoat!$D$14:$D$25,NganHang!A2,DoiSoat!$H$14:$H$25)+D18</f>
        <v>2610</v>
      </c>
      <c r="H18" s="18">
        <f>G18-F18</f>
        <v>0</v>
      </c>
      <c r="I18" s="1"/>
      <c r="J18" s="1"/>
      <c r="K18" s="1"/>
      <c r="L18" s="1"/>
      <c r="M18" s="1"/>
      <c r="N18" s="1"/>
      <c r="O18" s="1"/>
      <c r="P18" s="1"/>
    </row>
    <row r="19" spans="1:16" ht="25.05" customHeight="1">
      <c r="A19" s="17" t="str">
        <f>NganHang!B3</f>
        <v>Ngân hàng B</v>
      </c>
      <c r="B19" s="17">
        <f>COUNTIF(DoiSoat!$D$14:$D$25,NganHang!A3)</f>
        <v>4</v>
      </c>
      <c r="C19" s="18">
        <f>SUMIF(DoiSoat!$D$14:$D$25,NganHang!A3,DoiSoat!$E$14:$E$25)</f>
        <v>2070000</v>
      </c>
      <c r="D19" s="18">
        <f>NganHang!C3</f>
        <v>1000</v>
      </c>
      <c r="E19" s="22">
        <f>NganHang!D3</f>
        <v>1.1999999999999999E-3</v>
      </c>
      <c r="F19" s="18">
        <f>D19+ROUND(C19*E19,0)</f>
        <v>3484</v>
      </c>
      <c r="G19" s="18">
        <f>SUMIF(DoiSoat!$D$14:$D$25,NganHang!A3,DoiSoat!$H$14:$H$25)+D19</f>
        <v>3484</v>
      </c>
      <c r="H19" s="18">
        <f>G19-F19</f>
        <v>0</v>
      </c>
      <c r="I19" s="1"/>
      <c r="J19" s="1"/>
      <c r="K19" s="1"/>
      <c r="L19" s="1"/>
      <c r="M19" s="1"/>
      <c r="N19" s="1"/>
      <c r="O19" s="1"/>
      <c r="P19" s="1"/>
    </row>
    <row r="20" spans="1:16" ht="25.05" customHeight="1">
      <c r="A20" s="17" t="str">
        <f>NganHang!B4</f>
        <v>Ngân hàng C</v>
      </c>
      <c r="B20" s="17">
        <f>COUNTIF(DoiSoat!$D$14:$D$25,NganHang!A4)</f>
        <v>4</v>
      </c>
      <c r="C20" s="18">
        <f>SUMIF(DoiSoat!$D$14:$D$25,NganHang!A4,DoiSoat!$E$14:$E$25)</f>
        <v>3220000</v>
      </c>
      <c r="D20" s="18">
        <f>NganHang!C4</f>
        <v>1000</v>
      </c>
      <c r="E20" s="22">
        <f>NganHang!D4</f>
        <v>8.0000000000000004E-4</v>
      </c>
      <c r="F20" s="18">
        <f>D20+ROUND(C20*E20,0)</f>
        <v>3576</v>
      </c>
      <c r="G20" s="18">
        <f>SUMIF(DoiSoat!$D$14:$D$25,NganHang!A4,DoiSoat!$H$14:$H$25)+D20</f>
        <v>3576</v>
      </c>
      <c r="H20" s="18">
        <f>G20-F20</f>
        <v>0</v>
      </c>
      <c r="I20" s="1"/>
      <c r="J20" s="1"/>
      <c r="K20" s="1"/>
      <c r="L20" s="1"/>
      <c r="M20" s="1"/>
      <c r="N20" s="1"/>
      <c r="O20" s="1"/>
      <c r="P20" s="1"/>
    </row>
    <row r="21" spans="1:16" ht="25.05" customHeight="1">
      <c r="A21" s="19" t="s">
        <v>21</v>
      </c>
      <c r="B21" s="19">
        <f>SUM(B18:B20)</f>
        <v>12</v>
      </c>
      <c r="C21" s="20">
        <f>SUM(C18:C20)</f>
        <v>6900000</v>
      </c>
      <c r="D21" s="20">
        <f>SUM(D18:D20)</f>
        <v>3000</v>
      </c>
      <c r="E21" s="20"/>
      <c r="F21" s="20">
        <f>SUM(F18:F20)</f>
        <v>9670</v>
      </c>
      <c r="G21" s="20">
        <f>SUM(G18:G20)</f>
        <v>9670</v>
      </c>
      <c r="H21" s="20">
        <f>SUM(H18:H20)</f>
        <v>0</v>
      </c>
      <c r="I21" s="1"/>
      <c r="J21" s="1"/>
      <c r="K21" s="1"/>
      <c r="L21" s="1"/>
      <c r="M21" s="1"/>
      <c r="N21" s="1"/>
      <c r="O21" s="1"/>
      <c r="P21" s="1"/>
    </row>
    <row r="22" spans="1:16" ht="25.05" customHeight="1">
      <c r="A22" s="14"/>
      <c r="B22" s="14"/>
      <c r="C22" s="14"/>
      <c r="D22" s="14"/>
      <c r="E22" s="14"/>
      <c r="F22" s="14"/>
      <c r="G22" s="14"/>
      <c r="H22" s="14"/>
      <c r="I22" s="1"/>
      <c r="J22" s="1"/>
      <c r="K22" s="1"/>
      <c r="L22" s="1"/>
      <c r="M22" s="1"/>
      <c r="N22" s="1"/>
      <c r="O22" s="1"/>
      <c r="P22" s="1"/>
    </row>
    <row r="23" spans="1:16" ht="25.05" customHeight="1">
      <c r="A23" s="14"/>
      <c r="B23" s="14"/>
      <c r="C23" s="14"/>
      <c r="D23" s="14"/>
      <c r="E23" s="14"/>
      <c r="F23" s="14"/>
      <c r="G23" s="14"/>
      <c r="H23" s="14"/>
      <c r="I23" s="1"/>
      <c r="J23" s="1"/>
      <c r="K23" s="1"/>
      <c r="L23" s="1"/>
      <c r="M23" s="1"/>
      <c r="N23" s="1"/>
      <c r="O23" s="1"/>
      <c r="P23" s="1"/>
    </row>
    <row r="24" spans="1:16" ht="25.05" customHeight="1">
      <c r="A24" s="14" t="s">
        <v>22</v>
      </c>
      <c r="B24" s="14"/>
      <c r="C24" s="14"/>
      <c r="D24" s="14"/>
      <c r="E24" s="14"/>
      <c r="F24" s="14"/>
      <c r="G24" s="14"/>
      <c r="H24" s="14"/>
      <c r="I24" s="1"/>
      <c r="J24" s="1"/>
      <c r="K24" s="1"/>
      <c r="L24" s="1"/>
      <c r="M24" s="1"/>
      <c r="N24" s="1"/>
      <c r="O24" s="1"/>
      <c r="P24" s="1"/>
    </row>
    <row r="25" spans="1:16" ht="42" customHeight="1">
      <c r="A25" s="16" t="s">
        <v>2</v>
      </c>
      <c r="B25" s="16" t="s">
        <v>23</v>
      </c>
      <c r="C25" s="16" t="s">
        <v>24</v>
      </c>
      <c r="D25" s="16" t="s">
        <v>25</v>
      </c>
      <c r="E25" s="14"/>
      <c r="F25" s="14"/>
      <c r="G25" s="14"/>
      <c r="H25" s="14"/>
      <c r="I25" s="1"/>
      <c r="J25" s="1"/>
      <c r="K25" s="1"/>
      <c r="L25" s="1"/>
      <c r="M25" s="1"/>
      <c r="N25" s="1"/>
      <c r="O25" s="1"/>
      <c r="P25" s="1"/>
    </row>
    <row r="26" spans="1:16" ht="25.05" customHeight="1">
      <c r="A26" s="17" t="s">
        <v>26</v>
      </c>
      <c r="B26" s="23">
        <f>NganHang!G6</f>
        <v>100000</v>
      </c>
      <c r="C26" s="17" t="s">
        <v>27</v>
      </c>
      <c r="D26" s="17">
        <f>COUNTIF(DoiSoat!L2:L25,"Lệch phí")</f>
        <v>0</v>
      </c>
      <c r="E26" s="14"/>
      <c r="F26" s="14"/>
      <c r="G26" s="14"/>
      <c r="H26" s="14"/>
      <c r="I26" s="1"/>
      <c r="J26" s="1"/>
      <c r="K26" s="1"/>
      <c r="L26" s="1"/>
      <c r="M26" s="1"/>
      <c r="N26" s="1"/>
      <c r="O26" s="1"/>
      <c r="P26" s="1"/>
    </row>
    <row r="27" spans="1:16" ht="25.05" customHeight="1">
      <c r="A27" s="17" t="s">
        <v>28</v>
      </c>
      <c r="B27" s="23">
        <f>C7</f>
        <v>138000</v>
      </c>
      <c r="C27" s="17" t="s">
        <v>29</v>
      </c>
      <c r="D27" s="17">
        <f>COUNTIF(DoiSoat!M2:M25,"&gt;1")</f>
        <v>0</v>
      </c>
      <c r="E27" s="14"/>
      <c r="F27" s="14"/>
      <c r="G27" s="14"/>
      <c r="H27" s="14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7" t="s">
        <v>30</v>
      </c>
      <c r="B28" s="23">
        <f>SUM(C8:C10)</f>
        <v>100370</v>
      </c>
      <c r="C28" s="17" t="s">
        <v>31</v>
      </c>
      <c r="D28" s="17">
        <f>SUM(DoiSoat!K2:K25)</f>
        <v>0</v>
      </c>
      <c r="E28" s="14"/>
      <c r="F28" s="14"/>
      <c r="G28" s="14"/>
      <c r="H28" s="14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7" t="s">
        <v>32</v>
      </c>
      <c r="B29" s="23">
        <f>B26+B27-B28</f>
        <v>137630</v>
      </c>
      <c r="C29" s="17" t="s">
        <v>33</v>
      </c>
      <c r="D29" s="17">
        <f>B29-B26-C11</f>
        <v>0</v>
      </c>
      <c r="E29" s="14"/>
      <c r="F29" s="14"/>
      <c r="G29" s="14"/>
      <c r="H29" s="14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 t="s">
        <v>34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 t="s">
        <v>35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 t="s">
        <v>36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 t="s">
        <v>37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conditionalFormatting sqref="H18:H21">
    <cfRule type="cellIs" dxfId="2" priority="1" operator="notEqual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tabSelected="1" workbookViewId="0">
      <pane ySplit="1" topLeftCell="A2" activePane="bottomLeft" state="frozen"/>
      <selection pane="bottomLeft" activeCell="I2" sqref="I2"/>
    </sheetView>
  </sheetViews>
  <sheetFormatPr defaultRowHeight="13.8"/>
  <cols>
    <col min="1" max="2" width="20" customWidth="1"/>
    <col min="3" max="8" width="18" customWidth="1"/>
    <col min="9" max="9" width="26" customWidth="1"/>
    <col min="10" max="16" width="18" customWidth="1"/>
  </cols>
  <sheetData>
    <row r="1" spans="1:16" ht="42" customHeight="1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1"/>
      <c r="O1" s="1"/>
      <c r="P1" s="1"/>
    </row>
    <row r="2" spans="1:16" ht="25.05" customHeight="1">
      <c r="A2" s="1" t="s">
        <v>51</v>
      </c>
      <c r="B2" s="6" t="str">
        <f t="shared" ref="B2:B25" si="0">TRIM(A2)</f>
        <v>GD09001</v>
      </c>
      <c r="C2" s="7">
        <v>46267</v>
      </c>
      <c r="D2" s="1" t="s">
        <v>52</v>
      </c>
      <c r="E2" s="8">
        <v>200000</v>
      </c>
      <c r="F2" s="9">
        <f>ROUND(E2*NganHang!$G$2,0)</f>
        <v>4000</v>
      </c>
      <c r="G2" s="9">
        <f>ROUND(E2*NganHang!$G$3,0)</f>
        <v>600</v>
      </c>
      <c r="H2" s="12">
        <v>200</v>
      </c>
      <c r="I2" s="11" t="str">
        <f>VLOOKUP(B2,TraCuu!$A$2:$B$25,2,FALSE)</f>
        <v>Nguyễn Nhân</v>
      </c>
      <c r="J2" s="9">
        <f>ROUND(E2*VLOOKUP(D2,NganHang!$A$2:$D$4,4,FALSE),0)</f>
        <v>200</v>
      </c>
      <c r="K2" s="10">
        <f t="shared" ref="K2:K25" si="1">H2-J2</f>
        <v>0</v>
      </c>
      <c r="L2" s="6" t="str">
        <f>IF(K2=0,"Khớp","Lệch phí")</f>
        <v>Khớp</v>
      </c>
      <c r="M2" s="6">
        <f t="shared" ref="M2:M25" si="2">COUNTIF($B$2:$B$25,B2)</f>
        <v>1</v>
      </c>
      <c r="N2" s="1"/>
      <c r="O2" s="1"/>
      <c r="P2" s="1"/>
    </row>
    <row r="3" spans="1:16" ht="25.05" customHeight="1">
      <c r="A3" s="1" t="s">
        <v>53</v>
      </c>
      <c r="B3" s="6" t="str">
        <f t="shared" si="0"/>
        <v>GD09002</v>
      </c>
      <c r="C3" s="7">
        <v>46269</v>
      </c>
      <c r="D3" s="1" t="s">
        <v>54</v>
      </c>
      <c r="E3" s="8">
        <v>300000</v>
      </c>
      <c r="F3" s="9">
        <f>ROUND(E3*NganHang!$G$2,0)</f>
        <v>6000</v>
      </c>
      <c r="G3" s="9">
        <f>ROUND(E3*NganHang!$G$3,0)</f>
        <v>900</v>
      </c>
      <c r="H3" s="12">
        <v>360</v>
      </c>
      <c r="I3" s="25" t="s">
        <v>120</v>
      </c>
      <c r="J3" s="9">
        <f>ROUND(E3*VLOOKUP(D3,NganHang!$A$2:$D$4,4,FALSE),0)</f>
        <v>360</v>
      </c>
      <c r="K3" s="10">
        <f t="shared" si="1"/>
        <v>0</v>
      </c>
      <c r="L3" s="6" t="str">
        <f t="shared" ref="L2:L25" si="3">IF(K3=0,"Khớp","Lệch phí")</f>
        <v>Khớp</v>
      </c>
      <c r="M3" s="6">
        <f t="shared" si="2"/>
        <v>1</v>
      </c>
      <c r="N3" s="1"/>
      <c r="O3" s="1"/>
      <c r="P3" s="1"/>
    </row>
    <row r="4" spans="1:16" ht="25.05" customHeight="1">
      <c r="A4" s="1" t="s">
        <v>55</v>
      </c>
      <c r="B4" s="6" t="str">
        <f t="shared" si="0"/>
        <v>GD09003</v>
      </c>
      <c r="C4" s="7">
        <v>46271</v>
      </c>
      <c r="D4" s="1" t="s">
        <v>56</v>
      </c>
      <c r="E4" s="8">
        <v>400000</v>
      </c>
      <c r="F4" s="9">
        <f>ROUND(E4*NganHang!$G$2,0)</f>
        <v>8000</v>
      </c>
      <c r="G4" s="9">
        <f>ROUND(E4*NganHang!$G$3,0)</f>
        <v>1200</v>
      </c>
      <c r="H4" s="12">
        <v>320</v>
      </c>
      <c r="I4" s="11" t="str">
        <f>VLOOKUP(B4,TraCuu!$A$2:$B$25,2,FALSE)</f>
        <v>Lê An</v>
      </c>
      <c r="J4" s="9">
        <f>ROUND(E4*VLOOKUP(D4,NganHang!$A$2:$D$4,4,FALSE),0)</f>
        <v>320</v>
      </c>
      <c r="K4" s="10">
        <f t="shared" si="1"/>
        <v>0</v>
      </c>
      <c r="L4" s="6" t="str">
        <f t="shared" si="3"/>
        <v>Khớp</v>
      </c>
      <c r="M4" s="6">
        <f t="shared" si="2"/>
        <v>1</v>
      </c>
      <c r="N4" s="1"/>
      <c r="O4" s="1"/>
      <c r="P4" s="1"/>
    </row>
    <row r="5" spans="1:16" ht="25.05" customHeight="1">
      <c r="A5" s="1" t="s">
        <v>57</v>
      </c>
      <c r="B5" s="6" t="str">
        <f t="shared" si="0"/>
        <v>GD09004</v>
      </c>
      <c r="C5" s="7">
        <v>46273</v>
      </c>
      <c r="D5" s="1" t="s">
        <v>52</v>
      </c>
      <c r="E5" s="8">
        <v>500000</v>
      </c>
      <c r="F5" s="9">
        <f>ROUND(E5*NganHang!$G$2,0)</f>
        <v>10000</v>
      </c>
      <c r="G5" s="9">
        <f>ROUND(E5*NganHang!$G$3,0)</f>
        <v>1500</v>
      </c>
      <c r="H5" s="12">
        <v>500</v>
      </c>
      <c r="I5" s="11" t="str">
        <f>VLOOKUP(B5,TraCuu!$A$2:$B$25,2,FALSE)</f>
        <v>Phạm Huy</v>
      </c>
      <c r="J5" s="9">
        <f>ROUND(E5*VLOOKUP(D5,NganHang!$A$2:$D$4,4,FALSE),0)</f>
        <v>500</v>
      </c>
      <c r="K5" s="10">
        <f t="shared" si="1"/>
        <v>0</v>
      </c>
      <c r="L5" s="6" t="str">
        <f>IF(K5=0,"Khớp","Lệch phí")</f>
        <v>Khớp</v>
      </c>
      <c r="M5" s="6">
        <f t="shared" si="2"/>
        <v>1</v>
      </c>
      <c r="N5" s="1"/>
      <c r="O5" s="1"/>
      <c r="P5" s="1"/>
    </row>
    <row r="6" spans="1:16" ht="25.05" customHeight="1">
      <c r="A6" s="1" t="s">
        <v>58</v>
      </c>
      <c r="B6" s="6" t="str">
        <f t="shared" si="0"/>
        <v>GD09005</v>
      </c>
      <c r="C6" s="7">
        <v>46275</v>
      </c>
      <c r="D6" s="1" t="s">
        <v>54</v>
      </c>
      <c r="E6" s="8">
        <v>600000</v>
      </c>
      <c r="F6" s="9">
        <f>ROUND(E6*NganHang!$G$2,0)</f>
        <v>12000</v>
      </c>
      <c r="G6" s="9">
        <f>ROUND(E6*NganHang!$G$3,0)</f>
        <v>1800</v>
      </c>
      <c r="H6" s="12">
        <v>720</v>
      </c>
      <c r="I6" s="11" t="str">
        <f>VLOOKUP(B6,TraCuu!$A$2:$B$25,2,FALSE)</f>
        <v>Võ Linh</v>
      </c>
      <c r="J6" s="9">
        <f>ROUND(E6*VLOOKUP(D6,NganHang!$A$2:$D$4,4,FALSE),0)</f>
        <v>720</v>
      </c>
      <c r="K6" s="10">
        <f t="shared" si="1"/>
        <v>0</v>
      </c>
      <c r="L6" s="6" t="str">
        <f t="shared" si="3"/>
        <v>Khớp</v>
      </c>
      <c r="M6" s="6">
        <f t="shared" si="2"/>
        <v>1</v>
      </c>
      <c r="N6" s="1"/>
      <c r="O6" s="1"/>
      <c r="P6" s="1"/>
    </row>
    <row r="7" spans="1:16" ht="25.05" customHeight="1">
      <c r="A7" s="1" t="s">
        <v>59</v>
      </c>
      <c r="B7" s="6" t="str">
        <f t="shared" si="0"/>
        <v>GD09006</v>
      </c>
      <c r="C7" s="7">
        <v>46277</v>
      </c>
      <c r="D7" s="1" t="s">
        <v>56</v>
      </c>
      <c r="E7" s="8">
        <v>1000000</v>
      </c>
      <c r="F7" s="9">
        <f>ROUND(E7*NganHang!$G$2,0)</f>
        <v>20000</v>
      </c>
      <c r="G7" s="9">
        <f>ROUND(E7*NganHang!$G$3,0)</f>
        <v>3000</v>
      </c>
      <c r="H7" s="12">
        <v>800</v>
      </c>
      <c r="I7" s="11" t="str">
        <f>VLOOKUP(B7,TraCuu!$A$2:$B$25,2,FALSE)</f>
        <v>Đỗ Khoa</v>
      </c>
      <c r="J7" s="9">
        <f>ROUND(E7*VLOOKUP(D7,NganHang!$A$2:$D$4,4,FALSE),0)</f>
        <v>800</v>
      </c>
      <c r="K7" s="10">
        <f t="shared" si="1"/>
        <v>0</v>
      </c>
      <c r="L7" s="6" t="str">
        <f t="shared" si="3"/>
        <v>Khớp</v>
      </c>
      <c r="M7" s="6">
        <f t="shared" si="2"/>
        <v>1</v>
      </c>
      <c r="N7" s="1"/>
      <c r="O7" s="1"/>
      <c r="P7" s="1"/>
    </row>
    <row r="8" spans="1:16" ht="25.05" customHeight="1">
      <c r="A8" s="1" t="s">
        <v>60</v>
      </c>
      <c r="B8" s="6" t="str">
        <f t="shared" si="0"/>
        <v>GD09007</v>
      </c>
      <c r="C8" s="7">
        <v>46279</v>
      </c>
      <c r="D8" s="1" t="s">
        <v>52</v>
      </c>
      <c r="E8" s="8">
        <v>200000</v>
      </c>
      <c r="F8" s="9">
        <f>ROUND(E8*NganHang!$G$2,0)</f>
        <v>4000</v>
      </c>
      <c r="G8" s="9">
        <f>ROUND(E8*NganHang!$G$3,0)</f>
        <v>600</v>
      </c>
      <c r="H8" s="12">
        <v>200</v>
      </c>
      <c r="I8" s="11" t="str">
        <f>VLOOKUP(B8,TraCuu!$A$2:$B$25,2,FALSE)</f>
        <v>Nguyễn Nhân</v>
      </c>
      <c r="J8" s="9">
        <f>ROUND(E8*VLOOKUP(D8,NganHang!$A$2:$D$4,4,FALSE),0)</f>
        <v>200</v>
      </c>
      <c r="K8" s="10">
        <f t="shared" si="1"/>
        <v>0</v>
      </c>
      <c r="L8" s="6" t="str">
        <f t="shared" si="3"/>
        <v>Khớp</v>
      </c>
      <c r="M8" s="6">
        <f t="shared" si="2"/>
        <v>1</v>
      </c>
      <c r="N8" s="1"/>
      <c r="O8" s="1"/>
      <c r="P8" s="1"/>
    </row>
    <row r="9" spans="1:16" ht="25.05" customHeight="1">
      <c r="A9" s="1" t="s">
        <v>61</v>
      </c>
      <c r="B9" s="6" t="str">
        <f t="shared" si="0"/>
        <v>GD09008</v>
      </c>
      <c r="C9" s="7">
        <v>46281</v>
      </c>
      <c r="D9" s="1" t="s">
        <v>54</v>
      </c>
      <c r="E9" s="8">
        <v>300000</v>
      </c>
      <c r="F9" s="9">
        <f>ROUND(E9*NganHang!$G$2,0)</f>
        <v>6000</v>
      </c>
      <c r="G9" s="9">
        <f>ROUND(E9*NganHang!$G$3,0)</f>
        <v>900</v>
      </c>
      <c r="H9" s="12">
        <v>360</v>
      </c>
      <c r="I9" s="11" t="str">
        <f>VLOOKUP(B9,TraCuu!$A$2:$B$25,2,FALSE)</f>
        <v>Trần Minh</v>
      </c>
      <c r="J9" s="9">
        <f>ROUND(E9*VLOOKUP(D9,NganHang!$A$2:$D$4,4,FALSE),0)</f>
        <v>360</v>
      </c>
      <c r="K9" s="10">
        <f t="shared" si="1"/>
        <v>0</v>
      </c>
      <c r="L9" s="6" t="str">
        <f t="shared" si="3"/>
        <v>Khớp</v>
      </c>
      <c r="M9" s="6">
        <f t="shared" si="2"/>
        <v>1</v>
      </c>
      <c r="N9" s="1"/>
      <c r="O9" s="1"/>
      <c r="P9" s="1"/>
    </row>
    <row r="10" spans="1:16" ht="25.05" customHeight="1">
      <c r="A10" s="1" t="s">
        <v>62</v>
      </c>
      <c r="B10" s="6" t="str">
        <f t="shared" si="0"/>
        <v>GD09009</v>
      </c>
      <c r="C10" s="7">
        <v>46283</v>
      </c>
      <c r="D10" s="1" t="s">
        <v>56</v>
      </c>
      <c r="E10" s="8">
        <v>400000</v>
      </c>
      <c r="F10" s="9">
        <f>ROUND(E10*NganHang!$G$2,0)</f>
        <v>8000</v>
      </c>
      <c r="G10" s="9">
        <f>ROUND(E10*NganHang!$G$3,0)</f>
        <v>1200</v>
      </c>
      <c r="H10" s="12">
        <v>320</v>
      </c>
      <c r="I10" s="11" t="str">
        <f>VLOOKUP(B10,TraCuu!$A$2:$B$25,2,FALSE)</f>
        <v>Lê An</v>
      </c>
      <c r="J10" s="9">
        <f>ROUND(E10*VLOOKUP(D10,NganHang!$A$2:$D$4,4,FALSE),0)</f>
        <v>320</v>
      </c>
      <c r="K10" s="10">
        <f t="shared" si="1"/>
        <v>0</v>
      </c>
      <c r="L10" s="6" t="str">
        <f t="shared" si="3"/>
        <v>Khớp</v>
      </c>
      <c r="M10" s="6">
        <f t="shared" si="2"/>
        <v>1</v>
      </c>
      <c r="N10" s="1"/>
      <c r="O10" s="1"/>
      <c r="P10" s="1"/>
    </row>
    <row r="11" spans="1:16" ht="25.05" customHeight="1">
      <c r="A11" s="1" t="s">
        <v>63</v>
      </c>
      <c r="B11" s="6" t="str">
        <f t="shared" si="0"/>
        <v>GD09010</v>
      </c>
      <c r="C11" s="7">
        <v>46285</v>
      </c>
      <c r="D11" s="1" t="s">
        <v>52</v>
      </c>
      <c r="E11" s="8">
        <v>500000</v>
      </c>
      <c r="F11" s="9">
        <f>ROUND(E11*NganHang!$G$2,0)</f>
        <v>10000</v>
      </c>
      <c r="G11" s="9">
        <f>ROUND(E11*NganHang!$G$3,0)</f>
        <v>1500</v>
      </c>
      <c r="H11" s="12">
        <v>500</v>
      </c>
      <c r="I11" s="11" t="str">
        <f>VLOOKUP(B11,TraCuu!$A$2:$B$25,2,FALSE)</f>
        <v>Phạm Huy</v>
      </c>
      <c r="J11" s="9">
        <f>ROUND(E11*VLOOKUP(D11,NganHang!$A$2:$D$4,4,FALSE),0)</f>
        <v>500</v>
      </c>
      <c r="K11" s="10">
        <f t="shared" si="1"/>
        <v>0</v>
      </c>
      <c r="L11" s="6" t="str">
        <f t="shared" si="3"/>
        <v>Khớp</v>
      </c>
      <c r="M11" s="6">
        <f t="shared" si="2"/>
        <v>1</v>
      </c>
      <c r="N11" s="1"/>
      <c r="O11" s="1"/>
      <c r="P11" s="1"/>
    </row>
    <row r="12" spans="1:16" ht="25.05" customHeight="1">
      <c r="A12" s="1" t="s">
        <v>64</v>
      </c>
      <c r="B12" s="6" t="str">
        <f t="shared" si="0"/>
        <v>GD09011</v>
      </c>
      <c r="C12" s="7">
        <v>46287</v>
      </c>
      <c r="D12" s="1" t="s">
        <v>54</v>
      </c>
      <c r="E12" s="8">
        <v>600000</v>
      </c>
      <c r="F12" s="9">
        <f>ROUND(E12*NganHang!$G$2,0)</f>
        <v>12000</v>
      </c>
      <c r="G12" s="9">
        <f>ROUND(E12*NganHang!$G$3,0)</f>
        <v>1800</v>
      </c>
      <c r="H12" s="12">
        <v>720</v>
      </c>
      <c r="I12" s="11" t="str">
        <f>VLOOKUP(B12,TraCuu!$A$2:$B$25,2,FALSE)</f>
        <v>Võ Linh</v>
      </c>
      <c r="J12" s="9">
        <f>ROUND(E12*VLOOKUP(D12,NganHang!$A$2:$D$4,4,FALSE),0)</f>
        <v>720</v>
      </c>
      <c r="K12" s="10">
        <f t="shared" si="1"/>
        <v>0</v>
      </c>
      <c r="L12" s="6" t="str">
        <f t="shared" si="3"/>
        <v>Khớp</v>
      </c>
      <c r="M12" s="6">
        <f t="shared" si="2"/>
        <v>1</v>
      </c>
      <c r="N12" s="1"/>
      <c r="O12" s="1"/>
      <c r="P12" s="1"/>
    </row>
    <row r="13" spans="1:16" ht="25.05" customHeight="1">
      <c r="A13" s="1" t="s">
        <v>65</v>
      </c>
      <c r="B13" s="6" t="str">
        <f t="shared" si="0"/>
        <v>GD09012</v>
      </c>
      <c r="C13" s="7">
        <v>46289</v>
      </c>
      <c r="D13" s="1" t="s">
        <v>56</v>
      </c>
      <c r="E13" s="8">
        <v>1000000</v>
      </c>
      <c r="F13" s="9">
        <f>ROUND(E13*NganHang!$G$2,0)</f>
        <v>20000</v>
      </c>
      <c r="G13" s="9">
        <f>ROUND(E13*NganHang!$G$3,0)</f>
        <v>3000</v>
      </c>
      <c r="H13" s="12">
        <v>800</v>
      </c>
      <c r="I13" s="11" t="str">
        <f>VLOOKUP(B13,TraCuu!$A$2:$B$25,2,FALSE)</f>
        <v>Đỗ Khoa</v>
      </c>
      <c r="J13" s="9">
        <f>ROUND(E13*VLOOKUP(D13,NganHang!$A$2:$D$4,4,FALSE),0)</f>
        <v>800</v>
      </c>
      <c r="K13" s="10">
        <f t="shared" si="1"/>
        <v>0</v>
      </c>
      <c r="L13" s="6" t="str">
        <f t="shared" si="3"/>
        <v>Khớp</v>
      </c>
      <c r="M13" s="6">
        <f t="shared" si="2"/>
        <v>1</v>
      </c>
      <c r="N13" s="1"/>
      <c r="O13" s="1"/>
      <c r="P13" s="1"/>
    </row>
    <row r="14" spans="1:16" ht="25.05" customHeight="1">
      <c r="A14" s="1" t="s">
        <v>66</v>
      </c>
      <c r="B14" s="6" t="str">
        <f t="shared" si="0"/>
        <v>GD10001</v>
      </c>
      <c r="C14" s="7">
        <v>46297</v>
      </c>
      <c r="D14" s="1" t="s">
        <v>52</v>
      </c>
      <c r="E14" s="8">
        <v>229999.99999999997</v>
      </c>
      <c r="F14" s="9">
        <f>ROUND(E14*NganHang!$G$2,0)</f>
        <v>4600</v>
      </c>
      <c r="G14" s="9">
        <f>ROUND(E14*NganHang!$G$3,0)</f>
        <v>690</v>
      </c>
      <c r="H14" s="12">
        <v>230</v>
      </c>
      <c r="I14" s="11" t="str">
        <f>VLOOKUP(B14,TraCuu!$A$2:$B$25,2,FALSE)</f>
        <v>Nguyễn Nhân</v>
      </c>
      <c r="J14" s="9">
        <f>ROUND(E14*VLOOKUP(D14,NganHang!$A$2:$D$4,4,FALSE),0)</f>
        <v>230</v>
      </c>
      <c r="K14" s="10">
        <f t="shared" si="1"/>
        <v>0</v>
      </c>
      <c r="L14" s="6" t="str">
        <f t="shared" si="3"/>
        <v>Khớp</v>
      </c>
      <c r="M14" s="6">
        <f t="shared" si="2"/>
        <v>1</v>
      </c>
      <c r="N14" s="1"/>
      <c r="O14" s="1"/>
      <c r="P14" s="1"/>
    </row>
    <row r="15" spans="1:16" ht="25.05" customHeight="1">
      <c r="A15" s="1" t="s">
        <v>67</v>
      </c>
      <c r="B15" s="6" t="str">
        <f t="shared" si="0"/>
        <v>GD10002</v>
      </c>
      <c r="C15" s="7">
        <v>46299</v>
      </c>
      <c r="D15" s="1" t="s">
        <v>54</v>
      </c>
      <c r="E15" s="8">
        <v>345000</v>
      </c>
      <c r="F15" s="9">
        <f>ROUND(E15*NganHang!$G$2,0)</f>
        <v>6900</v>
      </c>
      <c r="G15" s="9">
        <f>ROUND(E15*NganHang!$G$3,0)</f>
        <v>1035</v>
      </c>
      <c r="H15" s="12">
        <v>414</v>
      </c>
      <c r="I15" s="11" t="str">
        <f>VLOOKUP(B15,TraCuu!$A$2:$B$25,2,FALSE)</f>
        <v>Trần Minh</v>
      </c>
      <c r="J15" s="9">
        <f>ROUND(E15*VLOOKUP(D15,NganHang!$A$2:$D$4,4,FALSE),0)</f>
        <v>414</v>
      </c>
      <c r="K15" s="10">
        <f t="shared" si="1"/>
        <v>0</v>
      </c>
      <c r="L15" s="6" t="str">
        <f t="shared" si="3"/>
        <v>Khớp</v>
      </c>
      <c r="M15" s="6">
        <f t="shared" si="2"/>
        <v>1</v>
      </c>
      <c r="N15" s="1"/>
      <c r="O15" s="1"/>
      <c r="P15" s="1"/>
    </row>
    <row r="16" spans="1:16" ht="25.05" customHeight="1">
      <c r="A16" s="1" t="s">
        <v>68</v>
      </c>
      <c r="B16" s="6" t="str">
        <f t="shared" si="0"/>
        <v>GD10003</v>
      </c>
      <c r="C16" s="7">
        <v>46301</v>
      </c>
      <c r="D16" s="1" t="s">
        <v>56</v>
      </c>
      <c r="E16" s="8">
        <v>459999.99999999994</v>
      </c>
      <c r="F16" s="9">
        <f>ROUND(E16*NganHang!$G$2,0)</f>
        <v>9200</v>
      </c>
      <c r="G16" s="9">
        <f>ROUND(E16*NganHang!$G$3,0)</f>
        <v>1380</v>
      </c>
      <c r="H16" s="12">
        <v>368</v>
      </c>
      <c r="I16" s="11" t="str">
        <f>VLOOKUP(B16,TraCuu!$A$2:$B$25,2,FALSE)</f>
        <v>Lê An</v>
      </c>
      <c r="J16" s="9">
        <f>ROUND(E16*VLOOKUP(D16,NganHang!$A$2:$D$4,4,FALSE),0)</f>
        <v>368</v>
      </c>
      <c r="K16" s="10">
        <f t="shared" si="1"/>
        <v>0</v>
      </c>
      <c r="L16" s="6" t="str">
        <f t="shared" si="3"/>
        <v>Khớp</v>
      </c>
      <c r="M16" s="6">
        <f t="shared" si="2"/>
        <v>1</v>
      </c>
      <c r="N16" s="1"/>
      <c r="O16" s="1"/>
      <c r="P16" s="1"/>
    </row>
    <row r="17" spans="1:16" ht="25.05" customHeight="1">
      <c r="A17" s="1" t="s">
        <v>69</v>
      </c>
      <c r="B17" s="6" t="str">
        <f t="shared" si="0"/>
        <v>GD10004</v>
      </c>
      <c r="C17" s="7">
        <v>46303</v>
      </c>
      <c r="D17" s="1" t="s">
        <v>52</v>
      </c>
      <c r="E17" s="8">
        <v>575000</v>
      </c>
      <c r="F17" s="9">
        <f>ROUND(E17*NganHang!$G$2,0)</f>
        <v>11500</v>
      </c>
      <c r="G17" s="9">
        <f>ROUND(E17*NganHang!$G$3,0)</f>
        <v>1725</v>
      </c>
      <c r="H17" s="12">
        <v>575</v>
      </c>
      <c r="I17" s="11" t="str">
        <f>VLOOKUP(B17,TraCuu!$A$2:$B$25,2,FALSE)</f>
        <v>Phạm Huy</v>
      </c>
      <c r="J17" s="9">
        <f>ROUND(E17*VLOOKUP(D17,NganHang!$A$2:$D$4,4,FALSE),0)</f>
        <v>575</v>
      </c>
      <c r="K17" s="10">
        <f t="shared" si="1"/>
        <v>0</v>
      </c>
      <c r="L17" s="6" t="str">
        <f t="shared" si="3"/>
        <v>Khớp</v>
      </c>
      <c r="M17" s="6">
        <f t="shared" si="2"/>
        <v>1</v>
      </c>
      <c r="N17" s="1"/>
      <c r="O17" s="1"/>
      <c r="P17" s="1"/>
    </row>
    <row r="18" spans="1:16" ht="25.05" customHeight="1">
      <c r="A18" s="1" t="s">
        <v>70</v>
      </c>
      <c r="B18" s="6" t="str">
        <f t="shared" si="0"/>
        <v>GD10005</v>
      </c>
      <c r="C18" s="7">
        <v>46305</v>
      </c>
      <c r="D18" s="1" t="s">
        <v>54</v>
      </c>
      <c r="E18" s="8">
        <v>690000</v>
      </c>
      <c r="F18" s="9">
        <f>ROUND(E18*NganHang!$G$2,0)</f>
        <v>13800</v>
      </c>
      <c r="G18" s="9">
        <f>ROUND(E18*NganHang!$G$3,0)</f>
        <v>2070</v>
      </c>
      <c r="H18" s="12">
        <v>828</v>
      </c>
      <c r="I18" s="11" t="str">
        <f>VLOOKUP(B18,TraCuu!$A$2:$B$25,2,FALSE)</f>
        <v>Võ Linh</v>
      </c>
      <c r="J18" s="9">
        <f>ROUND(E18*VLOOKUP(D18,NganHang!$A$2:$D$4,4,FALSE),0)</f>
        <v>828</v>
      </c>
      <c r="K18" s="10">
        <f t="shared" si="1"/>
        <v>0</v>
      </c>
      <c r="L18" s="6" t="str">
        <f t="shared" si="3"/>
        <v>Khớp</v>
      </c>
      <c r="M18" s="6">
        <f t="shared" si="2"/>
        <v>1</v>
      </c>
      <c r="N18" s="1"/>
      <c r="O18" s="1"/>
      <c r="P18" s="1"/>
    </row>
    <row r="19" spans="1:16" ht="25.05" customHeight="1">
      <c r="A19" s="1" t="s">
        <v>71</v>
      </c>
      <c r="B19" s="6" t="str">
        <f t="shared" si="0"/>
        <v>GD10006</v>
      </c>
      <c r="C19" s="7">
        <v>46307</v>
      </c>
      <c r="D19" s="1" t="s">
        <v>56</v>
      </c>
      <c r="E19" s="8">
        <v>1150000</v>
      </c>
      <c r="F19" s="9">
        <f>ROUND(E19*NganHang!$G$2,0)</f>
        <v>23000</v>
      </c>
      <c r="G19" s="9">
        <f>ROUND(E19*NganHang!$G$3,0)</f>
        <v>3450</v>
      </c>
      <c r="H19" s="12">
        <v>920</v>
      </c>
      <c r="I19" s="11" t="str">
        <f>VLOOKUP(B19,TraCuu!$A$2:$B$25,2,FALSE)</f>
        <v>Đỗ Khoa</v>
      </c>
      <c r="J19" s="9">
        <f>ROUND(E19*VLOOKUP(D19,NganHang!$A$2:$D$4,4,FALSE),0)</f>
        <v>920</v>
      </c>
      <c r="K19" s="10">
        <f t="shared" si="1"/>
        <v>0</v>
      </c>
      <c r="L19" s="6" t="str">
        <f t="shared" si="3"/>
        <v>Khớp</v>
      </c>
      <c r="M19" s="6">
        <f t="shared" si="2"/>
        <v>1</v>
      </c>
      <c r="N19" s="1"/>
      <c r="O19" s="1"/>
      <c r="P19" s="1"/>
    </row>
    <row r="20" spans="1:16" ht="25.05" customHeight="1">
      <c r="A20" s="1" t="s">
        <v>72</v>
      </c>
      <c r="B20" s="6" t="str">
        <f t="shared" si="0"/>
        <v>GD10007</v>
      </c>
      <c r="C20" s="7">
        <v>46309</v>
      </c>
      <c r="D20" s="1" t="s">
        <v>52</v>
      </c>
      <c r="E20" s="8">
        <v>229999.99999999997</v>
      </c>
      <c r="F20" s="9">
        <f>ROUND(E20*NganHang!$G$2,0)</f>
        <v>4600</v>
      </c>
      <c r="G20" s="9">
        <f>ROUND(E20*NganHang!$G$3,0)</f>
        <v>690</v>
      </c>
      <c r="H20" s="12">
        <v>230</v>
      </c>
      <c r="I20" s="11" t="str">
        <f>VLOOKUP(B20,TraCuu!$A$2:$B$25,2,FALSE)</f>
        <v>Nguyễn Nhân</v>
      </c>
      <c r="J20" s="9">
        <f>ROUND(E20*VLOOKUP(D20,NganHang!$A$2:$D$4,4,FALSE),0)</f>
        <v>230</v>
      </c>
      <c r="K20" s="10">
        <f t="shared" si="1"/>
        <v>0</v>
      </c>
      <c r="L20" s="6" t="str">
        <f t="shared" si="3"/>
        <v>Khớp</v>
      </c>
      <c r="M20" s="6">
        <f t="shared" si="2"/>
        <v>1</v>
      </c>
      <c r="N20" s="1"/>
      <c r="O20" s="1"/>
      <c r="P20" s="1"/>
    </row>
    <row r="21" spans="1:16" ht="25.05" customHeight="1">
      <c r="A21" s="1" t="s">
        <v>73</v>
      </c>
      <c r="B21" s="6" t="str">
        <f t="shared" si="0"/>
        <v>GD10008</v>
      </c>
      <c r="C21" s="7">
        <v>46311</v>
      </c>
      <c r="D21" s="1" t="s">
        <v>54</v>
      </c>
      <c r="E21" s="8">
        <v>345000</v>
      </c>
      <c r="F21" s="9">
        <f>ROUND(E21*NganHang!$G$2,0)</f>
        <v>6900</v>
      </c>
      <c r="G21" s="9">
        <f>ROUND(E21*NganHang!$G$3,0)</f>
        <v>1035</v>
      </c>
      <c r="H21" s="12">
        <v>414</v>
      </c>
      <c r="I21" s="11" t="str">
        <f>VLOOKUP(B21,TraCuu!$A$2:$B$25,2,FALSE)</f>
        <v>Trần Minh</v>
      </c>
      <c r="J21" s="9">
        <f>ROUND(E21*VLOOKUP(D21,NganHang!$A$2:$D$4,4,FALSE),0)</f>
        <v>414</v>
      </c>
      <c r="K21" s="10">
        <f t="shared" si="1"/>
        <v>0</v>
      </c>
      <c r="L21" s="6" t="str">
        <f t="shared" si="3"/>
        <v>Khớp</v>
      </c>
      <c r="M21" s="6">
        <f t="shared" si="2"/>
        <v>1</v>
      </c>
      <c r="N21" s="1"/>
      <c r="O21" s="1"/>
      <c r="P21" s="1"/>
    </row>
    <row r="22" spans="1:16" ht="25.05" customHeight="1">
      <c r="A22" s="1" t="s">
        <v>74</v>
      </c>
      <c r="B22" s="6" t="str">
        <f t="shared" si="0"/>
        <v>GD10009</v>
      </c>
      <c r="C22" s="7">
        <v>46313</v>
      </c>
      <c r="D22" s="1" t="s">
        <v>56</v>
      </c>
      <c r="E22" s="8">
        <v>459999.99999999994</v>
      </c>
      <c r="F22" s="9">
        <f>ROUND(E22*NganHang!$G$2,0)</f>
        <v>9200</v>
      </c>
      <c r="G22" s="9">
        <f>ROUND(E22*NganHang!$G$3,0)</f>
        <v>1380</v>
      </c>
      <c r="H22" s="12">
        <v>368</v>
      </c>
      <c r="I22" s="11" t="str">
        <f>VLOOKUP(B22,TraCuu!$A$2:$B$25,2,FALSE)</f>
        <v>Lê An</v>
      </c>
      <c r="J22" s="9">
        <f>ROUND(E22*VLOOKUP(D22,NganHang!$A$2:$D$4,4,FALSE),0)</f>
        <v>368</v>
      </c>
      <c r="K22" s="10">
        <f t="shared" si="1"/>
        <v>0</v>
      </c>
      <c r="L22" s="6" t="str">
        <f t="shared" si="3"/>
        <v>Khớp</v>
      </c>
      <c r="M22" s="6">
        <f t="shared" si="2"/>
        <v>1</v>
      </c>
      <c r="N22" s="1"/>
      <c r="O22" s="1"/>
      <c r="P22" s="1"/>
    </row>
    <row r="23" spans="1:16" ht="25.05" customHeight="1">
      <c r="A23" s="1" t="s">
        <v>75</v>
      </c>
      <c r="B23" s="6" t="str">
        <f t="shared" si="0"/>
        <v>GD10010</v>
      </c>
      <c r="C23" s="7">
        <v>46315</v>
      </c>
      <c r="D23" s="1" t="s">
        <v>52</v>
      </c>
      <c r="E23" s="8">
        <v>575000</v>
      </c>
      <c r="F23" s="9">
        <f>ROUND(E23*NganHang!$G$2,0)</f>
        <v>11500</v>
      </c>
      <c r="G23" s="9">
        <f>ROUND(E23*NganHang!$G$3,0)</f>
        <v>1725</v>
      </c>
      <c r="H23" s="12">
        <v>575</v>
      </c>
      <c r="I23" s="11" t="str">
        <f>VLOOKUP(B23,TraCuu!$A$2:$B$25,2,FALSE)</f>
        <v>Phạm Huy</v>
      </c>
      <c r="J23" s="9">
        <f>ROUND(E23*VLOOKUP(D23,NganHang!$A$2:$D$4,4,FALSE),0)</f>
        <v>575</v>
      </c>
      <c r="K23" s="10">
        <f t="shared" si="1"/>
        <v>0</v>
      </c>
      <c r="L23" s="6" t="str">
        <f t="shared" si="3"/>
        <v>Khớp</v>
      </c>
      <c r="M23" s="6">
        <f t="shared" si="2"/>
        <v>1</v>
      </c>
      <c r="N23" s="1"/>
      <c r="O23" s="1"/>
      <c r="P23" s="1"/>
    </row>
    <row r="24" spans="1:16" ht="25.05" customHeight="1">
      <c r="A24" s="1" t="s">
        <v>76</v>
      </c>
      <c r="B24" s="6" t="str">
        <f t="shared" si="0"/>
        <v>GD10011</v>
      </c>
      <c r="C24" s="7">
        <v>46317</v>
      </c>
      <c r="D24" s="1" t="s">
        <v>54</v>
      </c>
      <c r="E24" s="8">
        <v>690000</v>
      </c>
      <c r="F24" s="9">
        <f>ROUND(E24*NganHang!$G$2,0)</f>
        <v>13800</v>
      </c>
      <c r="G24" s="9">
        <f>ROUND(E24*NganHang!$G$3,0)</f>
        <v>2070</v>
      </c>
      <c r="H24" s="12">
        <v>828</v>
      </c>
      <c r="I24" s="11" t="str">
        <f>VLOOKUP(B24,TraCuu!$A$2:$B$25,2,FALSE)</f>
        <v>Võ Linh</v>
      </c>
      <c r="J24" s="9">
        <f>ROUND(E24*VLOOKUP(D24,NganHang!$A$2:$D$4,4,FALSE),0)</f>
        <v>828</v>
      </c>
      <c r="K24" s="10">
        <f t="shared" si="1"/>
        <v>0</v>
      </c>
      <c r="L24" s="6" t="str">
        <f t="shared" si="3"/>
        <v>Khớp</v>
      </c>
      <c r="M24" s="6">
        <f t="shared" si="2"/>
        <v>1</v>
      </c>
      <c r="N24" s="1"/>
      <c r="O24" s="1"/>
      <c r="P24" s="1"/>
    </row>
    <row r="25" spans="1:16" ht="25.05" customHeight="1">
      <c r="A25" s="1" t="s">
        <v>77</v>
      </c>
      <c r="B25" s="6" t="str">
        <f t="shared" si="0"/>
        <v>GD10012</v>
      </c>
      <c r="C25" s="7">
        <v>46319</v>
      </c>
      <c r="D25" s="1" t="s">
        <v>56</v>
      </c>
      <c r="E25" s="8">
        <v>1150000</v>
      </c>
      <c r="F25" s="9">
        <f>ROUND(E25*NganHang!$G$2,0)</f>
        <v>23000</v>
      </c>
      <c r="G25" s="9">
        <f>ROUND(E25*NganHang!$G$3,0)</f>
        <v>3450</v>
      </c>
      <c r="H25" s="12">
        <v>920</v>
      </c>
      <c r="I25" s="11" t="str">
        <f>VLOOKUP(B25,TraCuu!$A$2:$B$25,2,FALSE)</f>
        <v>Đỗ Khoa</v>
      </c>
      <c r="J25" s="9">
        <f>ROUND(E25*VLOOKUP(D25,NganHang!$A$2:$D$4,4,FALSE),0)</f>
        <v>920</v>
      </c>
      <c r="K25" s="10">
        <f t="shared" si="1"/>
        <v>0</v>
      </c>
      <c r="L25" s="6" t="str">
        <f t="shared" si="3"/>
        <v>Khớp</v>
      </c>
      <c r="M25" s="6">
        <f t="shared" si="2"/>
        <v>1</v>
      </c>
      <c r="N25" s="1"/>
      <c r="O25" s="1"/>
      <c r="P25" s="1"/>
    </row>
    <row r="26" spans="1:16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conditionalFormatting sqref="K2:K25">
    <cfRule type="cellIs" dxfId="1" priority="1" operator="notEqual">
      <formula>0</formula>
    </cfRule>
  </conditionalFormatting>
  <conditionalFormatting sqref="M2:M25">
    <cfRule type="cellIs" dxfId="0" priority="2" operator="greaterThan">
      <formula>1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"/>
  <sheetViews>
    <sheetView showGridLines="0" workbookViewId="0">
      <pane ySplit="1" topLeftCell="A2" activePane="bottomLeft" state="frozen"/>
      <selection pane="bottomLeft" activeCell="D2" sqref="D2"/>
    </sheetView>
  </sheetViews>
  <sheetFormatPr defaultRowHeight="13.8"/>
  <cols>
    <col min="1" max="1" width="21" customWidth="1"/>
    <col min="2" max="2" width="29" customWidth="1"/>
    <col min="3" max="3" width="21" customWidth="1"/>
    <col min="4" max="4" width="29" customWidth="1"/>
    <col min="5" max="5" width="18" customWidth="1"/>
    <col min="6" max="6" width="35" customWidth="1"/>
    <col min="7" max="7" width="75" customWidth="1"/>
    <col min="8" max="16" width="18" customWidth="1"/>
  </cols>
  <sheetData>
    <row r="1" spans="1:16" ht="42" customHeight="1">
      <c r="A1" s="2" t="s">
        <v>39</v>
      </c>
      <c r="B1" s="2" t="s">
        <v>78</v>
      </c>
      <c r="C1" s="2" t="s">
        <v>38</v>
      </c>
      <c r="D1" s="2" t="s">
        <v>79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6" t="str">
        <f t="shared" ref="A2:A25" si="0">TRIM(C2)</f>
        <v>GD09001</v>
      </c>
      <c r="B2" s="6" t="str">
        <f t="shared" ref="B2:B25" si="1">TRIM(D2)</f>
        <v>Nguyễn Nhân</v>
      </c>
      <c r="C2" s="1" t="s">
        <v>51</v>
      </c>
      <c r="D2" s="24" t="s">
        <v>80</v>
      </c>
      <c r="E2" s="1"/>
      <c r="F2" s="1" t="s">
        <v>81</v>
      </c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6" t="str">
        <f t="shared" si="0"/>
        <v>GD09002</v>
      </c>
      <c r="B3" s="6" t="str">
        <f t="shared" si="1"/>
        <v>Trần Minh</v>
      </c>
      <c r="C3" s="1" t="s">
        <v>53</v>
      </c>
      <c r="D3" s="24" t="s">
        <v>82</v>
      </c>
      <c r="E3" s="1"/>
      <c r="F3" s="1" t="s">
        <v>83</v>
      </c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6" t="str">
        <f t="shared" si="0"/>
        <v>GD09003</v>
      </c>
      <c r="B4" s="6" t="str">
        <f t="shared" si="1"/>
        <v>Lê An</v>
      </c>
      <c r="C4" s="1" t="s">
        <v>55</v>
      </c>
      <c r="D4" s="1" t="s">
        <v>84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5.05" customHeight="1">
      <c r="A5" s="6" t="str">
        <f t="shared" si="0"/>
        <v>GD09004</v>
      </c>
      <c r="B5" s="6" t="str">
        <f t="shared" si="1"/>
        <v>Phạm Huy</v>
      </c>
      <c r="C5" s="1" t="s">
        <v>57</v>
      </c>
      <c r="D5" s="1" t="s">
        <v>85</v>
      </c>
      <c r="E5" s="1"/>
      <c r="F5" s="1" t="s">
        <v>86</v>
      </c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5.05" customHeight="1">
      <c r="A6" s="6" t="str">
        <f t="shared" si="0"/>
        <v>GD09005</v>
      </c>
      <c r="B6" s="6" t="str">
        <f t="shared" si="1"/>
        <v>Võ Linh</v>
      </c>
      <c r="C6" s="1" t="s">
        <v>58</v>
      </c>
      <c r="D6" s="1" t="s">
        <v>87</v>
      </c>
      <c r="E6" s="1"/>
      <c r="F6" s="1" t="s">
        <v>88</v>
      </c>
      <c r="G6" s="1" t="s">
        <v>89</v>
      </c>
      <c r="H6" s="1"/>
      <c r="I6" s="1"/>
      <c r="J6" s="1"/>
      <c r="K6" s="1"/>
      <c r="L6" s="1"/>
      <c r="M6" s="1"/>
      <c r="N6" s="1"/>
      <c r="O6" s="1"/>
      <c r="P6" s="1"/>
    </row>
    <row r="7" spans="1:16" ht="25.05" customHeight="1">
      <c r="A7" s="6" t="str">
        <f t="shared" si="0"/>
        <v>GD09006</v>
      </c>
      <c r="B7" s="6" t="str">
        <f t="shared" si="1"/>
        <v>Đỗ Khoa</v>
      </c>
      <c r="C7" s="1" t="s">
        <v>59</v>
      </c>
      <c r="D7" s="1" t="s">
        <v>90</v>
      </c>
      <c r="E7" s="1"/>
      <c r="F7" s="1" t="s">
        <v>91</v>
      </c>
      <c r="G7" s="1" t="s">
        <v>92</v>
      </c>
      <c r="H7" s="1"/>
      <c r="I7" s="1"/>
      <c r="J7" s="1"/>
      <c r="K7" s="1"/>
      <c r="L7" s="1"/>
      <c r="M7" s="1"/>
      <c r="N7" s="1"/>
      <c r="O7" s="1"/>
      <c r="P7" s="1"/>
    </row>
    <row r="8" spans="1:16" ht="25.05" customHeight="1">
      <c r="A8" s="6" t="str">
        <f t="shared" si="0"/>
        <v>GD09007</v>
      </c>
      <c r="B8" s="6" t="str">
        <f t="shared" si="1"/>
        <v>Nguyễn Nhân</v>
      </c>
      <c r="C8" s="1" t="s">
        <v>60</v>
      </c>
      <c r="D8" s="1" t="s">
        <v>80</v>
      </c>
      <c r="E8" s="1"/>
      <c r="F8" s="1" t="s">
        <v>93</v>
      </c>
      <c r="G8" s="1" t="s">
        <v>94</v>
      </c>
      <c r="H8" s="1"/>
      <c r="I8" s="1"/>
      <c r="J8" s="1"/>
      <c r="K8" s="1"/>
      <c r="L8" s="1"/>
      <c r="M8" s="1"/>
      <c r="N8" s="1"/>
      <c r="O8" s="1"/>
      <c r="P8" s="1"/>
    </row>
    <row r="9" spans="1:16" ht="25.05" customHeight="1">
      <c r="A9" s="6" t="str">
        <f t="shared" si="0"/>
        <v>GD09008</v>
      </c>
      <c r="B9" s="6" t="str">
        <f t="shared" si="1"/>
        <v>Trần Minh</v>
      </c>
      <c r="C9" s="1" t="s">
        <v>61</v>
      </c>
      <c r="D9" s="1" t="s">
        <v>82</v>
      </c>
      <c r="E9" s="1"/>
      <c r="F9" s="1" t="s">
        <v>95</v>
      </c>
      <c r="G9" s="1" t="s">
        <v>96</v>
      </c>
      <c r="H9" s="1"/>
      <c r="I9" s="1"/>
      <c r="J9" s="1"/>
      <c r="K9" s="1"/>
      <c r="L9" s="1"/>
      <c r="M9" s="1"/>
      <c r="N9" s="1"/>
      <c r="O9" s="1"/>
      <c r="P9" s="1"/>
    </row>
    <row r="10" spans="1:16" ht="25.05" customHeight="1">
      <c r="A10" s="6" t="str">
        <f t="shared" si="0"/>
        <v>GD09009</v>
      </c>
      <c r="B10" s="6" t="str">
        <f t="shared" si="1"/>
        <v>Lê An</v>
      </c>
      <c r="C10" s="1" t="s">
        <v>62</v>
      </c>
      <c r="D10" s="1" t="s">
        <v>84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05" customHeight="1">
      <c r="A11" s="6" t="str">
        <f t="shared" si="0"/>
        <v>GD09010</v>
      </c>
      <c r="B11" s="6" t="str">
        <f t="shared" si="1"/>
        <v>Phạm Huy</v>
      </c>
      <c r="C11" s="1" t="s">
        <v>63</v>
      </c>
      <c r="D11" s="1" t="s">
        <v>85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42" customHeight="1">
      <c r="A12" s="6" t="str">
        <f t="shared" si="0"/>
        <v>GD09011</v>
      </c>
      <c r="B12" s="6" t="str">
        <f t="shared" si="1"/>
        <v>Võ Linh</v>
      </c>
      <c r="C12" s="1" t="s">
        <v>64</v>
      </c>
      <c r="D12" s="1" t="s">
        <v>87</v>
      </c>
      <c r="E12" s="1"/>
      <c r="F12" s="2" t="s">
        <v>97</v>
      </c>
      <c r="G12" s="2" t="s">
        <v>98</v>
      </c>
      <c r="H12" s="1"/>
      <c r="I12" s="1"/>
      <c r="J12" s="1"/>
      <c r="K12" s="1"/>
      <c r="L12" s="1"/>
      <c r="M12" s="1"/>
      <c r="N12" s="1"/>
      <c r="O12" s="1"/>
      <c r="P12" s="1"/>
    </row>
    <row r="13" spans="1:16" ht="25.05" customHeight="1">
      <c r="A13" s="6" t="str">
        <f t="shared" si="0"/>
        <v>GD09012</v>
      </c>
      <c r="B13" s="6" t="str">
        <f t="shared" si="1"/>
        <v>Đỗ Khoa</v>
      </c>
      <c r="C13" s="1" t="s">
        <v>65</v>
      </c>
      <c r="D13" s="1" t="s">
        <v>90</v>
      </c>
      <c r="E13" s="1"/>
      <c r="F13" s="1" t="s">
        <v>66</v>
      </c>
      <c r="G13" s="6" t="str">
        <f>VLOOKUP(TRIM(F13),$A$2:$B$25,2,FALSE)</f>
        <v>Nguyễn Nhân</v>
      </c>
      <c r="H13" s="1"/>
      <c r="I13" s="1"/>
      <c r="J13" s="1"/>
      <c r="K13" s="1"/>
      <c r="L13" s="1"/>
      <c r="M13" s="1"/>
      <c r="N13" s="1"/>
      <c r="O13" s="1"/>
      <c r="P13" s="1"/>
    </row>
    <row r="14" spans="1:16" ht="25.05" customHeight="1">
      <c r="A14" s="6" t="str">
        <f t="shared" si="0"/>
        <v>GD10001</v>
      </c>
      <c r="B14" s="6" t="str">
        <f t="shared" si="1"/>
        <v>Nguyễn Nhân</v>
      </c>
      <c r="C14" s="1" t="s">
        <v>66</v>
      </c>
      <c r="D14" s="1" t="s">
        <v>80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.05" customHeight="1">
      <c r="A15" s="6" t="str">
        <f t="shared" si="0"/>
        <v>GD10002</v>
      </c>
      <c r="B15" s="6" t="str">
        <f t="shared" si="1"/>
        <v>Trần Minh</v>
      </c>
      <c r="C15" s="1" t="s">
        <v>67</v>
      </c>
      <c r="D15" s="1" t="s">
        <v>82</v>
      </c>
      <c r="E15" s="1"/>
      <c r="F15" s="1" t="s">
        <v>99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.05" customHeight="1">
      <c r="A16" s="6" t="str">
        <f t="shared" si="0"/>
        <v>GD10003</v>
      </c>
      <c r="B16" s="6" t="str">
        <f t="shared" si="1"/>
        <v>Lê An</v>
      </c>
      <c r="C16" s="1" t="s">
        <v>68</v>
      </c>
      <c r="D16" s="1" t="s">
        <v>84</v>
      </c>
      <c r="E16" s="1"/>
      <c r="F16" s="1" t="s">
        <v>100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.05" customHeight="1">
      <c r="A17" s="6" t="str">
        <f t="shared" si="0"/>
        <v>GD10004</v>
      </c>
      <c r="B17" s="6" t="str">
        <f t="shared" si="1"/>
        <v>Phạm Huy</v>
      </c>
      <c r="C17" s="1" t="s">
        <v>69</v>
      </c>
      <c r="D17" s="1" t="s">
        <v>85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.05" customHeight="1">
      <c r="A18" s="6" t="str">
        <f t="shared" si="0"/>
        <v>GD10005</v>
      </c>
      <c r="B18" s="6" t="str">
        <f t="shared" si="1"/>
        <v>Võ Linh</v>
      </c>
      <c r="C18" s="1" t="s">
        <v>70</v>
      </c>
      <c r="D18" s="1" t="s">
        <v>87</v>
      </c>
      <c r="E18" s="1"/>
      <c r="F18" s="1" t="s">
        <v>101</v>
      </c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.05" customHeight="1">
      <c r="A19" s="6" t="str">
        <f t="shared" si="0"/>
        <v>GD10006</v>
      </c>
      <c r="B19" s="6" t="str">
        <f t="shared" si="1"/>
        <v>Đỗ Khoa</v>
      </c>
      <c r="C19" s="1" t="s">
        <v>71</v>
      </c>
      <c r="D19" s="1" t="s">
        <v>90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.05" customHeight="1">
      <c r="A20" s="6" t="str">
        <f t="shared" si="0"/>
        <v>GD10007</v>
      </c>
      <c r="B20" s="6" t="str">
        <f t="shared" si="1"/>
        <v>Nguyễn Nhân</v>
      </c>
      <c r="C20" s="1" t="s">
        <v>72</v>
      </c>
      <c r="D20" s="1" t="s">
        <v>80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.05" customHeight="1">
      <c r="A21" s="6" t="str">
        <f t="shared" si="0"/>
        <v>GD10008</v>
      </c>
      <c r="B21" s="6" t="str">
        <f t="shared" si="1"/>
        <v>Trần Minh</v>
      </c>
      <c r="C21" s="1" t="s">
        <v>73</v>
      </c>
      <c r="D21" s="1" t="s">
        <v>82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.05" customHeight="1">
      <c r="A22" s="6" t="str">
        <f t="shared" si="0"/>
        <v>GD10009</v>
      </c>
      <c r="B22" s="6" t="str">
        <f t="shared" si="1"/>
        <v>Lê An</v>
      </c>
      <c r="C22" s="1" t="s">
        <v>74</v>
      </c>
      <c r="D22" s="1" t="s">
        <v>84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.05" customHeight="1">
      <c r="A23" s="6" t="str">
        <f t="shared" si="0"/>
        <v>GD10010</v>
      </c>
      <c r="B23" s="6" t="str">
        <f t="shared" si="1"/>
        <v>Phạm Huy</v>
      </c>
      <c r="C23" s="1" t="s">
        <v>75</v>
      </c>
      <c r="D23" s="1" t="s">
        <v>85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.05" customHeight="1">
      <c r="A24" s="6" t="str">
        <f t="shared" si="0"/>
        <v>GD10011</v>
      </c>
      <c r="B24" s="6" t="str">
        <f t="shared" si="1"/>
        <v>Võ Linh</v>
      </c>
      <c r="C24" s="1" t="s">
        <v>76</v>
      </c>
      <c r="D24" s="1" t="s">
        <v>87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5.05" customHeight="1">
      <c r="A25" s="6" t="str">
        <f t="shared" si="0"/>
        <v>GD10012</v>
      </c>
      <c r="B25" s="6" t="str">
        <f t="shared" si="1"/>
        <v>Đỗ Khoa</v>
      </c>
      <c r="C25" s="1" t="s">
        <v>77</v>
      </c>
      <c r="D25" s="1" t="s">
        <v>90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0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8" customWidth="1"/>
    <col min="2" max="2" width="24" customWidth="1"/>
    <col min="3" max="5" width="18" customWidth="1"/>
    <col min="6" max="6" width="40" customWidth="1"/>
    <col min="7" max="16" width="18" customWidth="1"/>
  </cols>
  <sheetData>
    <row r="1" spans="1:16" ht="42" customHeight="1">
      <c r="A1" s="2" t="s">
        <v>41</v>
      </c>
      <c r="B1" s="2" t="s">
        <v>102</v>
      </c>
      <c r="C1" s="2" t="s">
        <v>103</v>
      </c>
      <c r="D1" s="2" t="s">
        <v>104</v>
      </c>
      <c r="E1" s="1"/>
      <c r="F1" s="2" t="s">
        <v>105</v>
      </c>
      <c r="G1" s="2" t="s">
        <v>106</v>
      </c>
      <c r="H1" s="1"/>
      <c r="I1" s="1"/>
      <c r="J1" s="1"/>
      <c r="K1" s="1"/>
      <c r="L1" s="1"/>
      <c r="M1" s="1"/>
      <c r="N1" s="1"/>
      <c r="O1" s="1"/>
      <c r="P1" s="1"/>
    </row>
    <row r="2" spans="1:16" ht="25.05" customHeight="1">
      <c r="A2" s="1" t="s">
        <v>52</v>
      </c>
      <c r="B2" s="1" t="s">
        <v>107</v>
      </c>
      <c r="C2" s="3">
        <v>1000</v>
      </c>
      <c r="D2" s="4">
        <v>1E-3</v>
      </c>
      <c r="E2" s="1"/>
      <c r="F2" s="1" t="s">
        <v>108</v>
      </c>
      <c r="G2" s="5">
        <v>0.02</v>
      </c>
      <c r="H2" s="1"/>
      <c r="I2" s="1"/>
      <c r="J2" s="1"/>
      <c r="K2" s="1"/>
      <c r="L2" s="1"/>
      <c r="M2" s="1"/>
      <c r="N2" s="1"/>
      <c r="O2" s="1"/>
      <c r="P2" s="1"/>
    </row>
    <row r="3" spans="1:16" ht="25.05" customHeight="1">
      <c r="A3" s="1" t="s">
        <v>54</v>
      </c>
      <c r="B3" s="1" t="s">
        <v>109</v>
      </c>
      <c r="C3" s="3">
        <v>1000</v>
      </c>
      <c r="D3" s="4">
        <v>1.1999999999999999E-3</v>
      </c>
      <c r="E3" s="1"/>
      <c r="F3" s="1" t="s">
        <v>110</v>
      </c>
      <c r="G3" s="5">
        <v>3.0000000000000001E-3</v>
      </c>
      <c r="H3" s="1"/>
      <c r="I3" s="1"/>
      <c r="J3" s="1"/>
      <c r="K3" s="1"/>
      <c r="L3" s="1"/>
      <c r="M3" s="1"/>
      <c r="N3" s="1"/>
      <c r="O3" s="1"/>
      <c r="P3" s="1"/>
    </row>
    <row r="4" spans="1:16" ht="25.05" customHeight="1">
      <c r="A4" s="1" t="s">
        <v>56</v>
      </c>
      <c r="B4" s="1" t="s">
        <v>111</v>
      </c>
      <c r="C4" s="3">
        <v>1000</v>
      </c>
      <c r="D4" s="4">
        <v>8.0000000000000004E-4</v>
      </c>
      <c r="E4" s="1"/>
      <c r="F4" s="1" t="s">
        <v>112</v>
      </c>
      <c r="G4" s="3">
        <v>70000</v>
      </c>
      <c r="H4" s="1"/>
      <c r="I4" s="1"/>
      <c r="J4" s="1"/>
      <c r="K4" s="1"/>
      <c r="L4" s="1"/>
      <c r="M4" s="1"/>
      <c r="N4" s="1"/>
      <c r="O4" s="1"/>
      <c r="P4" s="1"/>
    </row>
    <row r="5" spans="1:16" ht="25.05" customHeight="1">
      <c r="A5" s="1"/>
      <c r="B5" s="1"/>
      <c r="C5" s="1"/>
      <c r="D5" s="1"/>
      <c r="E5" s="1"/>
      <c r="F5" s="1" t="s">
        <v>113</v>
      </c>
      <c r="G5" s="3">
        <v>70000</v>
      </c>
      <c r="H5" s="1"/>
      <c r="I5" s="1"/>
      <c r="J5" s="1"/>
      <c r="K5" s="1"/>
      <c r="L5" s="1"/>
      <c r="M5" s="1"/>
      <c r="N5" s="1"/>
      <c r="O5" s="1"/>
      <c r="P5" s="1"/>
    </row>
    <row r="6" spans="1:16" ht="25.05" customHeight="1">
      <c r="A6" s="1"/>
      <c r="B6" s="1"/>
      <c r="C6" s="1"/>
      <c r="D6" s="1"/>
      <c r="E6" s="1"/>
      <c r="F6" s="1" t="s">
        <v>114</v>
      </c>
      <c r="G6" s="3">
        <v>100000</v>
      </c>
      <c r="H6" s="1"/>
      <c r="I6" s="1"/>
      <c r="J6" s="1"/>
      <c r="K6" s="1"/>
      <c r="L6" s="1"/>
      <c r="M6" s="1"/>
      <c r="N6" s="1"/>
      <c r="O6" s="1"/>
      <c r="P6" s="1"/>
    </row>
    <row r="7" spans="1:16" ht="25.0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 ht="25.05" customHeight="1">
      <c r="A8" s="1"/>
      <c r="B8" s="1"/>
      <c r="C8" s="1"/>
      <c r="D8" s="1"/>
      <c r="E8" s="1"/>
      <c r="F8" s="1" t="s">
        <v>115</v>
      </c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 ht="25.05" customHeight="1">
      <c r="A9" s="1"/>
      <c r="B9" s="1"/>
      <c r="C9" s="1"/>
      <c r="D9" s="1"/>
      <c r="E9" s="1"/>
      <c r="F9" s="1" t="s">
        <v>116</v>
      </c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 ht="25.05" customHeight="1">
      <c r="A10" s="1"/>
      <c r="B10" s="1"/>
      <c r="C10" s="1"/>
      <c r="D10" s="1"/>
      <c r="E10" s="1"/>
      <c r="F10" s="1" t="s">
        <v>117</v>
      </c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5.05" customHeight="1">
      <c r="A11" s="1"/>
      <c r="B11" s="1"/>
      <c r="C11" s="1"/>
      <c r="D11" s="1"/>
      <c r="E11" s="1"/>
      <c r="F11" s="1" t="s">
        <v>118</v>
      </c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.05" customHeight="1">
      <c r="A12" s="1"/>
      <c r="B12" s="1"/>
      <c r="C12" s="1"/>
      <c r="D12" s="1"/>
      <c r="E12" s="1"/>
      <c r="F12" s="1" t="s">
        <v>119</v>
      </c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.0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5.0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.0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.0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.0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.0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.0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.0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.0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.0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.0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.0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5.0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ht="25.0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ht="25.0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ht="25.0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ht="25.0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ht="25.0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25.0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ht="25.0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ht="25.0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ht="25.0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ht="25.0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ht="25.0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ht="25.0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ht="25.0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ht="25.0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ht="25.0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TongHop</vt:lpstr>
      <vt:lpstr>DoiSoat</vt:lpstr>
      <vt:lpstr>TraCuu</vt:lpstr>
      <vt:lpstr>NganHang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Trọng Nhân Nguyễn</cp:lastModifiedBy>
  <dcterms:modified xsi:type="dcterms:W3CDTF">2026-10-27T03:36:59Z</dcterms:modified>
</cp:coreProperties>
</file>